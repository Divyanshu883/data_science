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gi\digital lab\"/>
    </mc:Choice>
  </mc:AlternateContent>
  <xr:revisionPtr revIDLastSave="0" documentId="13_ncr:1_{3A9D6BE0-5E43-453B-8D49-EC79A0718B9F}" xr6:coauthVersionLast="47" xr6:coauthVersionMax="47" xr10:uidLastSave="{00000000-0000-0000-0000-000000000000}"/>
  <bookViews>
    <workbookView xWindow="-108" yWindow="-108" windowWidth="23256" windowHeight="12456" xr2:uid="{4A74F819-6D09-4AAE-BC30-952C8FD174FD}"/>
  </bookViews>
  <sheets>
    <sheet name="Sheet1" sheetId="1" r:id="rId1"/>
    <sheet name="Sheet2" sheetId="2" r:id="rId2"/>
  </sheets>
  <definedNames>
    <definedName name="_xlnm._FilterDatabase" localSheetId="0" hidden="1">Sheet1!$A$1:$G$16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1" l="1"/>
  <c r="B41" i="1"/>
  <c r="B42" i="1"/>
  <c r="B43" i="1"/>
  <c r="B44" i="1"/>
</calcChain>
</file>

<file path=xl/sharedStrings.xml><?xml version="1.0" encoding="utf-8"?>
<sst xmlns="http://schemas.openxmlformats.org/spreadsheetml/2006/main" count="172" uniqueCount="80">
  <si>
    <t>Employee</t>
  </si>
  <si>
    <t>Department</t>
  </si>
  <si>
    <t>Month</t>
  </si>
  <si>
    <t>Sales</t>
  </si>
  <si>
    <t>Bonus</t>
  </si>
  <si>
    <t>Target</t>
  </si>
  <si>
    <t>Status</t>
  </si>
  <si>
    <t>Aman</t>
  </si>
  <si>
    <t>Jan</t>
  </si>
  <si>
    <t>Achieved</t>
  </si>
  <si>
    <t>HR</t>
  </si>
  <si>
    <t>Not Achieved</t>
  </si>
  <si>
    <t>Ravi</t>
  </si>
  <si>
    <t>IT</t>
  </si>
  <si>
    <t>Priya</t>
  </si>
  <si>
    <t>Feb</t>
  </si>
  <si>
    <t>Karan</t>
  </si>
  <si>
    <t>Sneha</t>
  </si>
  <si>
    <t>Mar</t>
  </si>
  <si>
    <t>Apr</t>
  </si>
  <si>
    <t>May</t>
  </si>
  <si>
    <t>Jun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</si>
  <si>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</si>
  <si>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</si>
  <si>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</si>
  <si>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</si>
  <si>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</si>
  <si>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</si>
  <si>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</si>
  <si>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</si>
  <si>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</si>
  <si>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</si>
  <si>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</si>
  <si>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</si>
  <si>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</si>
  <si>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</si>
  <si>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Column2</t>
  </si>
  <si>
    <t>ee</t>
  </si>
  <si>
    <t>Bin</t>
  </si>
  <si>
    <t>More</t>
  </si>
  <si>
    <t>Frequency</t>
  </si>
  <si>
    <t>Cumulative %</t>
  </si>
  <si>
    <t>Method A</t>
  </si>
  <si>
    <t>Method B</t>
  </si>
  <si>
    <t>Method C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</si>
  <si>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</si>
  <si>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</si>
  <si>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</si>
  <si>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</si>
  <si>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</si>
  <si>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</si>
  <si>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</si>
  <si>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</si>
  <si>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</si>
  <si>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</si>
  <si>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</si>
  <si>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</si>
  <si>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</si>
  <si>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</si>
  <si>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</si>
  <si>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</si>
  <si>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Student</t>
  </si>
  <si>
    <t>Marks</t>
  </si>
  <si>
    <t>t-Test: Paired Two Sample for Means</t>
  </si>
  <si>
    <t>Observations</t>
  </si>
  <si>
    <t>Pearson Correlation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</si>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</sst>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10" fontId="0" fillId="0" borderId="0" xfId="0" applyNumberFormat="1"/>
    <xf numFmtId="10" fontId="0" fillId="0" borderId="1" xfId="0" applyNumberForma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0202CB40-4362-49E7-9532-30973EAD7C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Sheet1!$D$31:$D$37</c:f>
              <c:numCache>
                <c:formatCode>General</c:formatCode>
                <c:ptCount val="7"/>
                <c:pt idx="0">
                  <c:v>456</c:v>
                </c:pt>
                <c:pt idx="1">
                  <c:v>1</c:v>
                </c:pt>
                <c:pt idx="2">
                  <c:v>100</c:v>
                </c:pt>
                <c:pt idx="3">
                  <c:v>222</c:v>
                </c:pt>
                <c:pt idx="4">
                  <c:v>333</c:v>
                </c:pt>
                <c:pt idx="5">
                  <c:v>125</c:v>
                </c:pt>
                <c:pt idx="6">
                  <c:v>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6-45FE-9819-6850E6BC8198}"/>
            </c:ext>
          </c:extLst>
        </c:ser>
        <c:ser>
          <c:idx val="1"/>
          <c:order val="1"/>
          <c:tx>
            <c:v>Forecast</c:v>
          </c:tx>
          <c:val>
            <c:numRef>
              <c:f>Sheet1!$B$38:$B$44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185.66666666666666</c:v>
                </c:pt>
                <c:pt idx="3">
                  <c:v>107.66666666666667</c:v>
                </c:pt>
                <c:pt idx="4">
                  <c:v>218.33333333333334</c:v>
                </c:pt>
                <c:pt idx="5">
                  <c:v>226.66666666666666</c:v>
                </c:pt>
                <c:pt idx="6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96-45FE-9819-6850E6BC8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521295"/>
        <c:axId val="1453522543"/>
      </c:lineChart>
      <c:catAx>
        <c:axId val="145352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453522543"/>
        <c:crosses val="autoZero"/>
        <c:auto val="1"/>
        <c:lblAlgn val="ctr"/>
        <c:lblOffset val="100"/>
        <c:noMultiLvlLbl val="0"/>
      </c:catAx>
      <c:valAx>
        <c:axId val="14535225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535212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Sheet1!$F$69:$F$75</c:f>
              <c:strCache>
                <c:ptCount val="7"/>
                <c:pt idx="0">
                  <c:v>More</c:v>
                </c:pt>
                <c:pt idx="1">
                  <c:v>10</c:v>
                </c:pt>
                <c:pt idx="2">
                  <c:v>70</c:v>
                </c:pt>
                <c:pt idx="3">
                  <c:v>130</c:v>
                </c:pt>
                <c:pt idx="4">
                  <c:v>40</c:v>
                </c:pt>
                <c:pt idx="5">
                  <c:v>100</c:v>
                </c:pt>
                <c:pt idx="6">
                  <c:v>160</c:v>
                </c:pt>
              </c:strCache>
            </c:strRef>
          </c:cat>
          <c:val>
            <c:numRef>
              <c:f>Sheet1!$G$69:$G$75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2-4E2D-B1DB-1F3099A6F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6540031"/>
        <c:axId val="1726543775"/>
      </c:barChart>
      <c:catAx>
        <c:axId val="1726540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26543775"/>
        <c:crosses val="autoZero"/>
        <c:auto val="1"/>
        <c:lblAlgn val="ctr"/>
        <c:lblOffset val="100"/>
        <c:noMultiLvlLbl val="0"/>
      </c:catAx>
      <c:valAx>
        <c:axId val="17265437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26540031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38</xdr:row>
      <xdr:rowOff>15240</xdr:rowOff>
    </xdr:from>
    <xdr:to>
      <xdr:col>11</xdr:col>
      <xdr:colOff>106680</xdr:colOff>
      <xdr:row>47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DF226-8945-455F-99A3-DFB79FA04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260047</xdr:colOff>
      <xdr:row>75</xdr:row>
      <xdr:rowOff>157670</xdr:rowOff>
    </xdr:from>
    <xdr:to>
      <xdr:col>8</xdr:col>
      <xdr:colOff>304811</xdr:colOff>
      <xdr:row>86</xdr:row>
      <xdr:rowOff>7935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E2FD5F-3D4B-4820-AE92-6C610B25B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9FB20-73BB-48E1-B480-48E9521C660E}" name="Table1" displayName="Table1" ref="A1:H16" totalsRowShown="0" headerRowDxfId="15" dataDxfId="14">
  <autoFilter ref="A1:H16" xr:uid="{E66D280B-FC77-455D-B1C9-86AD755E1535}"/>
  <tableColumns count="8">
    <tableColumn id="1" xr3:uid="{2C267B30-1359-46C4-A1AA-E3CADD98C107}" name="Employee" dataDxfId="13"/>
    <tableColumn id="2" xr3:uid="{33A1028F-AE32-4CE1-A932-4219876368BF}" name="Department" dataDxfId="12"/>
    <tableColumn id="3" xr3:uid="{2D2DF2B2-66ED-47CB-A4A7-9228252BC11A}" name="Month" dataDxfId="11"/>
    <tableColumn id="4" xr3:uid="{F07757C3-2B2B-4808-8058-552D48524883}" name="Sales" dataDxfId="10"/>
    <tableColumn id="5" xr3:uid="{BD0775F0-6F32-4836-94B2-C273646E2D84}" name="Bonus" dataDxfId="9"/>
    <tableColumn id="6" xr3:uid="{B27CFCB6-D036-426F-A40B-03FC0D32F8F7}" name="Target" dataDxfId="8"/>
    <tableColumn id="7" xr3:uid="{A7E3A7AD-8690-4952-92B7-1814BEDB5852}" name="Status" dataDxfId="7"/>
    <tableColumn id="8" xr3:uid="{403ABC39-49B4-42C2-BCCE-34C4B37ABAB5}" name=".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DDFCD9-394C-4677-A143-F056672EC80A}" name="Table2" displayName="Table2" ref="J10:K26" totalsRowShown="0" headerRowDxfId="6" dataDxfId="4" headerRowBorderDxfId="5" tableBorderDxfId="3">
  <autoFilter ref="J10:K26" xr:uid="{79DDFCD9-394C-4677-A143-F056672EC80A}"/>
  <tableColumns count="2">
    <tableColumn id="1" xr3:uid="{77DBFD04-91E3-498F-B149-274C3D40FC3A}" name="ee" dataDxfId="2"/>
    <tableColumn id="2" xr3:uid="{AD9615BD-6E99-43BE-A812-3A0DA10F780E}" name="Column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280B-FC77-455D-B1C9-86AD755E1535}">
  <dimension ref="A1:K81"/>
  <sheetViews>
    <sheetView tabSelected="1" topLeftCell="F5" zoomScale="49" zoomScaleNormal="115" workbookViewId="0">
      <selection activeCell="H1" sqref="H1"/>
    </sheetView>
  </sheetViews>
  <sheetFormatPr defaultRowHeight="14.4" x14ac:dyDescent="0.3"/>
  <cols>
    <col min="1" max="1" width="16" bestFit="1" customWidth="1"/>
    <col min="2" max="2" width="18.6640625" bestFit="1" customWidth="1"/>
    <col min="3" max="3" width="6.6640625" bestFit="1" customWidth="1"/>
    <col min="4" max="4" width="12.5546875" bestFit="1" customWidth="1"/>
    <col min="5" max="5" width="13.109375" bestFit="1" customWidth="1"/>
    <col min="6" max="6" width="12.5546875" bestFit="1" customWidth="1"/>
    <col min="7" max="7" width="10.21875" bestFit="1" customWidth="1"/>
    <col min="8" max="8" width="13.109375" bestFit="1" customWidth="1"/>
    <col min="10" max="10" width="16.77734375" bestFit="1" customWidth="1"/>
    <col min="11" max="11" width="15.77734375" bestFit="1" customWidth="1"/>
  </cols>
  <sheetData>
    <row r="1" spans="1:11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79</v>
      </c>
    </row>
    <row r="2" spans="1:11" ht="36" x14ac:dyDescent="0.3">
      <c r="A2" s="2" t="s">
        <v>16</v>
      </c>
      <c r="B2" s="2" t="s">
        <v>13</v>
      </c>
      <c r="C2" s="2" t="s">
        <v>19</v>
      </c>
      <c r="D2" s="2">
        <v>64000</v>
      </c>
      <c r="E2" s="2">
        <v>3200</v>
      </c>
      <c r="F2" s="2">
        <v>60000</v>
      </c>
      <c r="G2" s="2" t="s">
        <v>9</v>
      </c>
      <c r="H2" s="2"/>
    </row>
    <row r="3" spans="1:11" ht="36" x14ac:dyDescent="0.3">
      <c r="A3" s="2" t="s">
        <v>16</v>
      </c>
      <c r="B3" s="2" t="s">
        <v>13</v>
      </c>
      <c r="C3" s="2" t="s">
        <v>15</v>
      </c>
      <c r="D3" s="2">
        <v>61000</v>
      </c>
      <c r="E3" s="2">
        <v>3000</v>
      </c>
      <c r="F3" s="2">
        <v>55000</v>
      </c>
      <c r="G3" s="2" t="s">
        <v>9</v>
      </c>
      <c r="H3" s="2"/>
    </row>
    <row r="4" spans="1:11" ht="36" x14ac:dyDescent="0.3">
      <c r="A4" s="2" t="s">
        <v>12</v>
      </c>
      <c r="B4" s="2" t="s">
        <v>13</v>
      </c>
      <c r="C4" s="2" t="s">
        <v>20</v>
      </c>
      <c r="D4" s="2">
        <v>60000</v>
      </c>
      <c r="E4" s="2">
        <v>3000</v>
      </c>
      <c r="F4" s="2">
        <v>55000</v>
      </c>
      <c r="G4" s="2" t="s">
        <v>9</v>
      </c>
      <c r="H4" s="2"/>
    </row>
    <row r="5" spans="1:11" ht="36" x14ac:dyDescent="0.3">
      <c r="A5" s="2" t="s">
        <v>12</v>
      </c>
      <c r="B5" s="2" t="s">
        <v>13</v>
      </c>
      <c r="C5" s="2" t="s">
        <v>18</v>
      </c>
      <c r="D5" s="2">
        <v>59000</v>
      </c>
      <c r="E5" s="2">
        <v>2700</v>
      </c>
      <c r="F5" s="2">
        <v>55000</v>
      </c>
      <c r="G5" s="2" t="s">
        <v>9</v>
      </c>
      <c r="H5" s="2"/>
    </row>
    <row r="6" spans="1:11" ht="54" x14ac:dyDescent="0.3">
      <c r="A6" s="2" t="s">
        <v>16</v>
      </c>
      <c r="B6" s="2" t="s">
        <v>13</v>
      </c>
      <c r="C6" s="2" t="s">
        <v>21</v>
      </c>
      <c r="D6" s="2">
        <v>58000</v>
      </c>
      <c r="E6" s="2">
        <v>2800</v>
      </c>
      <c r="F6" s="2">
        <v>60000</v>
      </c>
      <c r="G6" s="2" t="s">
        <v>11</v>
      </c>
      <c r="H6" s="2"/>
    </row>
    <row r="7" spans="1:11" ht="36" x14ac:dyDescent="0.3">
      <c r="A7" s="2" t="s">
        <v>12</v>
      </c>
      <c r="B7" s="2" t="s">
        <v>13</v>
      </c>
      <c r="C7" s="2" t="s">
        <v>8</v>
      </c>
      <c r="D7" s="2">
        <v>52000</v>
      </c>
      <c r="E7" s="2">
        <v>2500</v>
      </c>
      <c r="F7" s="2">
        <v>50000</v>
      </c>
      <c r="G7" s="2" t="s">
        <v>9</v>
      </c>
      <c r="H7" s="2"/>
    </row>
    <row r="8" spans="1:11" ht="36" x14ac:dyDescent="0.3">
      <c r="A8" s="2" t="s">
        <v>7</v>
      </c>
      <c r="B8" s="2" t="s">
        <v>3</v>
      </c>
      <c r="C8" s="2" t="s">
        <v>18</v>
      </c>
      <c r="D8" s="2">
        <v>47000</v>
      </c>
      <c r="E8" s="2">
        <v>2000</v>
      </c>
      <c r="F8" s="2">
        <v>45000</v>
      </c>
      <c r="G8" s="2" t="s">
        <v>9</v>
      </c>
      <c r="H8" s="2"/>
    </row>
    <row r="9" spans="1:11" ht="36.6" thickBot="1" x14ac:dyDescent="0.35">
      <c r="A9" s="2" t="s">
        <v>7</v>
      </c>
      <c r="B9" s="2" t="s">
        <v>3</v>
      </c>
      <c r="C9" s="2" t="s">
        <v>8</v>
      </c>
      <c r="D9" s="2">
        <v>45000</v>
      </c>
      <c r="E9" s="2">
        <v>2000</v>
      </c>
      <c r="F9" s="2">
        <v>40000</v>
      </c>
      <c r="G9" s="2" t="s">
        <v>9</v>
      </c>
      <c r="H9" s="2"/>
    </row>
    <row r="10" spans="1:11" ht="36" x14ac:dyDescent="0.3">
      <c r="A10" s="2" t="s">
        <v>14</v>
      </c>
      <c r="B10" s="2" t="s">
        <v>3</v>
      </c>
      <c r="C10" s="2" t="s">
        <v>21</v>
      </c>
      <c r="D10" s="2">
        <v>44000</v>
      </c>
      <c r="E10" s="2">
        <v>2000</v>
      </c>
      <c r="F10" s="2">
        <v>40000</v>
      </c>
      <c r="G10" s="2" t="s">
        <v>9</v>
      </c>
      <c r="H10" s="2"/>
      <c r="J10" s="5" t="s">
        <v>37</v>
      </c>
      <c r="K10" s="5" t="s">
        <v>36</v>
      </c>
    </row>
    <row r="11" spans="1:11" ht="36" x14ac:dyDescent="0.3">
      <c r="A11" s="2" t="s">
        <v>14</v>
      </c>
      <c r="B11" s="2" t="s">
        <v>3</v>
      </c>
      <c r="C11" s="2" t="s">
        <v>19</v>
      </c>
      <c r="D11" s="2">
        <v>42000</v>
      </c>
      <c r="E11" s="2">
        <v>2000</v>
      </c>
      <c r="F11" s="2">
        <v>40000</v>
      </c>
      <c r="G11" s="2" t="s">
        <v>9</v>
      </c>
      <c r="H11" s="2"/>
    </row>
    <row r="12" spans="1:11" ht="54" x14ac:dyDescent="0.3">
      <c r="A12" s="2" t="s">
        <v>7</v>
      </c>
      <c r="B12" s="2" t="s">
        <v>3</v>
      </c>
      <c r="C12" s="2" t="s">
        <v>20</v>
      </c>
      <c r="D12" s="2">
        <v>39000</v>
      </c>
      <c r="E12" s="2">
        <v>1800</v>
      </c>
      <c r="F12" s="2">
        <v>42000</v>
      </c>
      <c r="G12" s="2" t="s">
        <v>11</v>
      </c>
      <c r="H12" s="2"/>
      <c r="J12" t="s">
        <v>23</v>
      </c>
      <c r="K12">
        <v>44142.857142857145</v>
      </c>
    </row>
    <row r="13" spans="1:11" ht="54" x14ac:dyDescent="0.3">
      <c r="A13" s="2" t="s">
        <v>14</v>
      </c>
      <c r="B13" s="2" t="s">
        <v>3</v>
      </c>
      <c r="C13" s="2" t="s">
        <v>15</v>
      </c>
      <c r="D13" s="2">
        <v>38000</v>
      </c>
      <c r="E13" s="2">
        <v>1800</v>
      </c>
      <c r="F13" s="2">
        <v>40000</v>
      </c>
      <c r="G13" s="2" t="s">
        <v>11</v>
      </c>
      <c r="H13" s="2"/>
      <c r="J13" t="s">
        <v>24</v>
      </c>
      <c r="K13">
        <v>2519.9362081083805</v>
      </c>
    </row>
    <row r="14" spans="1:11" ht="36" x14ac:dyDescent="0.3">
      <c r="A14" s="2" t="s">
        <v>17</v>
      </c>
      <c r="B14" s="2" t="s">
        <v>10</v>
      </c>
      <c r="C14" s="2" t="s">
        <v>21</v>
      </c>
      <c r="D14" s="2">
        <v>36000</v>
      </c>
      <c r="E14" s="2">
        <v>1500</v>
      </c>
      <c r="F14" s="2">
        <v>32000</v>
      </c>
      <c r="G14" s="2" t="s">
        <v>9</v>
      </c>
      <c r="H14" s="2"/>
      <c r="J14" t="s">
        <v>25</v>
      </c>
      <c r="K14">
        <v>41000</v>
      </c>
    </row>
    <row r="15" spans="1:11" ht="36" x14ac:dyDescent="0.3">
      <c r="A15" s="2" t="s">
        <v>17</v>
      </c>
      <c r="B15" s="2" t="s">
        <v>10</v>
      </c>
      <c r="C15" s="2" t="s">
        <v>19</v>
      </c>
      <c r="D15" s="2">
        <v>35000</v>
      </c>
      <c r="E15" s="2">
        <v>1600</v>
      </c>
      <c r="F15" s="2">
        <v>32000</v>
      </c>
      <c r="G15" s="2" t="s">
        <v>9</v>
      </c>
      <c r="H15" s="2"/>
      <c r="J15" t="s">
        <v>26</v>
      </c>
      <c r="K15">
        <v>40000</v>
      </c>
    </row>
    <row r="16" spans="1:11" ht="36" x14ac:dyDescent="0.3">
      <c r="A16" s="2" t="s">
        <v>17</v>
      </c>
      <c r="B16" s="2" t="s">
        <v>10</v>
      </c>
      <c r="C16" s="2" t="s">
        <v>15</v>
      </c>
      <c r="D16" s="2">
        <v>34000</v>
      </c>
      <c r="E16" s="2">
        <v>1500</v>
      </c>
      <c r="F16" s="2">
        <v>32000</v>
      </c>
      <c r="G16" s="2" t="s">
        <v>9</v>
      </c>
      <c r="H16" s="2"/>
      <c r="J16" t="s">
        <v>27</v>
      </c>
      <c r="K16">
        <v>9428.7379272678372</v>
      </c>
    </row>
    <row r="17" spans="1:11" ht="18" x14ac:dyDescent="0.3">
      <c r="A17" s="2"/>
      <c r="B17" s="2"/>
      <c r="C17" s="2"/>
      <c r="D17" s="2"/>
      <c r="E17" s="2"/>
      <c r="F17" s="2"/>
      <c r="G17" s="2"/>
      <c r="J17" t="s">
        <v>28</v>
      </c>
      <c r="K17">
        <v>88901098.901098981</v>
      </c>
    </row>
    <row r="18" spans="1:11" ht="18" x14ac:dyDescent="0.3">
      <c r="A18" s="2"/>
      <c r="B18" s="2"/>
      <c r="C18" s="2"/>
      <c r="D18" s="2"/>
      <c r="E18" s="2"/>
      <c r="F18" s="2"/>
      <c r="G18" s="2"/>
      <c r="J18" t="s">
        <v>29</v>
      </c>
      <c r="K18">
        <v>-1.1696990023045322</v>
      </c>
    </row>
    <row r="19" spans="1:11" ht="18" x14ac:dyDescent="0.3">
      <c r="A19" s="2"/>
      <c r="B19" s="2"/>
      <c r="C19" s="2"/>
      <c r="D19" s="2"/>
      <c r="E19" s="2"/>
      <c r="F19" s="2"/>
      <c r="G19" s="2"/>
      <c r="H19" s="3">
        <v>23</v>
      </c>
      <c r="J19" t="s">
        <v>30</v>
      </c>
      <c r="K19">
        <v>0.25295466707060293</v>
      </c>
    </row>
    <row r="20" spans="1:11" ht="18" x14ac:dyDescent="0.3">
      <c r="A20" s="3"/>
      <c r="B20" s="3">
        <v>1</v>
      </c>
      <c r="C20" s="3"/>
      <c r="D20" s="3"/>
      <c r="F20" s="3">
        <v>2</v>
      </c>
      <c r="G20" s="3"/>
      <c r="J20" t="s">
        <v>31</v>
      </c>
      <c r="K20">
        <v>28000</v>
      </c>
    </row>
    <row r="21" spans="1:11" x14ac:dyDescent="0.3">
      <c r="J21" t="s">
        <v>32</v>
      </c>
      <c r="K21">
        <v>32000</v>
      </c>
    </row>
    <row r="22" spans="1:11" x14ac:dyDescent="0.3">
      <c r="J22" t="s">
        <v>33</v>
      </c>
      <c r="K22">
        <v>60000</v>
      </c>
    </row>
    <row r="23" spans="1:11" x14ac:dyDescent="0.3">
      <c r="J23" t="s">
        <v>34</v>
      </c>
      <c r="K23">
        <v>618000</v>
      </c>
    </row>
    <row r="24" spans="1:11" ht="18" x14ac:dyDescent="0.3">
      <c r="E24" s="3">
        <v>23</v>
      </c>
      <c r="G24" s="3">
        <v>23</v>
      </c>
      <c r="J24" t="s">
        <v>35</v>
      </c>
      <c r="K24">
        <v>14</v>
      </c>
    </row>
    <row r="25" spans="1:11" x14ac:dyDescent="0.3">
      <c r="J25" t="s">
        <v>35</v>
      </c>
      <c r="K25">
        <v>0</v>
      </c>
    </row>
    <row r="26" spans="1:11" ht="15" thickBot="1" x14ac:dyDescent="0.35">
      <c r="J26" s="4"/>
      <c r="K26" s="4">
        <v>0</v>
      </c>
    </row>
    <row r="30" spans="1:11" x14ac:dyDescent="0.3">
      <c r="B30">
        <v>125</v>
      </c>
    </row>
    <row r="31" spans="1:11" x14ac:dyDescent="0.3">
      <c r="B31">
        <v>222</v>
      </c>
      <c r="D31">
        <v>456</v>
      </c>
    </row>
    <row r="32" spans="1:11" x14ac:dyDescent="0.3">
      <c r="B32">
        <v>376</v>
      </c>
      <c r="D32">
        <v>1</v>
      </c>
    </row>
    <row r="33" spans="2:4" x14ac:dyDescent="0.3">
      <c r="D33">
        <v>100</v>
      </c>
    </row>
    <row r="34" spans="2:4" x14ac:dyDescent="0.3">
      <c r="D34">
        <v>222</v>
      </c>
    </row>
    <row r="35" spans="2:4" x14ac:dyDescent="0.3">
      <c r="D35">
        <v>333</v>
      </c>
    </row>
    <row r="36" spans="2:4" x14ac:dyDescent="0.3">
      <c r="D36">
        <v>125</v>
      </c>
    </row>
    <row r="37" spans="2:4" x14ac:dyDescent="0.3">
      <c r="D37">
        <v>376</v>
      </c>
    </row>
    <row r="38" spans="2:4" x14ac:dyDescent="0.3">
      <c r="B38" t="e">
        <v>#N/A</v>
      </c>
    </row>
    <row r="39" spans="2:4" x14ac:dyDescent="0.3">
      <c r="B39" t="e">
        <v>#N/A</v>
      </c>
    </row>
    <row r="40" spans="2:4" x14ac:dyDescent="0.3">
      <c r="B40">
        <f t="shared" ref="B40:B44" si="0">AVERAGE(D31:D33)</f>
        <v>185.66666666666666</v>
      </c>
    </row>
    <row r="41" spans="2:4" x14ac:dyDescent="0.3">
      <c r="B41">
        <f t="shared" si="0"/>
        <v>107.66666666666667</v>
      </c>
    </row>
    <row r="42" spans="2:4" x14ac:dyDescent="0.3">
      <c r="B42">
        <f t="shared" si="0"/>
        <v>218.33333333333334</v>
      </c>
    </row>
    <row r="43" spans="2:4" x14ac:dyDescent="0.3">
      <c r="B43">
        <f t="shared" si="0"/>
        <v>226.66666666666666</v>
      </c>
    </row>
    <row r="44" spans="2:4" x14ac:dyDescent="0.3">
      <c r="B44">
        <f t="shared" si="0"/>
        <v>278</v>
      </c>
    </row>
    <row r="53" spans="4:5" x14ac:dyDescent="0.3">
      <c r="D53">
        <v>130</v>
      </c>
      <c r="E53">
        <v>10</v>
      </c>
    </row>
    <row r="54" spans="4:5" x14ac:dyDescent="0.3">
      <c r="D54">
        <v>45</v>
      </c>
      <c r="E54">
        <v>40</v>
      </c>
    </row>
    <row r="55" spans="4:5" x14ac:dyDescent="0.3">
      <c r="D55">
        <v>111</v>
      </c>
      <c r="E55">
        <v>70</v>
      </c>
    </row>
    <row r="56" spans="4:5" x14ac:dyDescent="0.3">
      <c r="D56">
        <v>342</v>
      </c>
      <c r="E56">
        <v>100</v>
      </c>
    </row>
    <row r="57" spans="4:5" x14ac:dyDescent="0.3">
      <c r="D57">
        <v>323</v>
      </c>
      <c r="E57">
        <v>130</v>
      </c>
    </row>
    <row r="58" spans="4:5" x14ac:dyDescent="0.3">
      <c r="D58">
        <v>25678</v>
      </c>
      <c r="E58">
        <v>160</v>
      </c>
    </row>
    <row r="59" spans="4:5" x14ac:dyDescent="0.3">
      <c r="D59">
        <v>7</v>
      </c>
    </row>
    <row r="60" spans="4:5" x14ac:dyDescent="0.3">
      <c r="D60">
        <v>4</v>
      </c>
    </row>
    <row r="61" spans="4:5" x14ac:dyDescent="0.3">
      <c r="D61">
        <v>43</v>
      </c>
    </row>
    <row r="67" spans="3:8" ht="15" thickBot="1" x14ac:dyDescent="0.35"/>
    <row r="68" spans="3:8" x14ac:dyDescent="0.3">
      <c r="C68" s="5" t="s">
        <v>38</v>
      </c>
      <c r="D68" s="5" t="s">
        <v>40</v>
      </c>
      <c r="E68" s="5" t="s">
        <v>41</v>
      </c>
      <c r="F68" s="5" t="s">
        <v>38</v>
      </c>
      <c r="G68" s="5" t="s">
        <v>40</v>
      </c>
      <c r="H68" s="5" t="s">
        <v>41</v>
      </c>
    </row>
    <row r="69" spans="3:8" x14ac:dyDescent="0.3">
      <c r="C69">
        <v>10</v>
      </c>
      <c r="D69">
        <v>2</v>
      </c>
      <c r="E69" s="7">
        <v>0.22222222222222221</v>
      </c>
      <c r="F69" t="s">
        <v>39</v>
      </c>
      <c r="G69">
        <v>3</v>
      </c>
      <c r="H69" s="7">
        <v>0.33333333333333331</v>
      </c>
    </row>
    <row r="70" spans="3:8" x14ac:dyDescent="0.3">
      <c r="C70">
        <v>40</v>
      </c>
      <c r="D70">
        <v>0</v>
      </c>
      <c r="E70" s="7">
        <v>0.22222222222222221</v>
      </c>
      <c r="F70">
        <v>10</v>
      </c>
      <c r="G70">
        <v>2</v>
      </c>
      <c r="H70" s="7">
        <v>0.55555555555555558</v>
      </c>
    </row>
    <row r="71" spans="3:8" x14ac:dyDescent="0.3">
      <c r="C71">
        <v>70</v>
      </c>
      <c r="D71">
        <v>2</v>
      </c>
      <c r="E71" s="7">
        <v>0.44444444444444442</v>
      </c>
      <c r="F71">
        <v>70</v>
      </c>
      <c r="G71">
        <v>2</v>
      </c>
      <c r="H71" s="7">
        <v>0.77777777777777779</v>
      </c>
    </row>
    <row r="72" spans="3:8" x14ac:dyDescent="0.3">
      <c r="C72">
        <v>100</v>
      </c>
      <c r="D72">
        <v>0</v>
      </c>
      <c r="E72" s="7">
        <v>0.44444444444444442</v>
      </c>
      <c r="F72">
        <v>130</v>
      </c>
      <c r="G72">
        <v>2</v>
      </c>
      <c r="H72" s="7">
        <v>1</v>
      </c>
    </row>
    <row r="73" spans="3:8" x14ac:dyDescent="0.3">
      <c r="C73">
        <v>130</v>
      </c>
      <c r="D73">
        <v>2</v>
      </c>
      <c r="E73" s="7">
        <v>0.66666666666666663</v>
      </c>
      <c r="F73">
        <v>40</v>
      </c>
      <c r="G73">
        <v>0</v>
      </c>
      <c r="H73" s="7">
        <v>1</v>
      </c>
    </row>
    <row r="74" spans="3:8" x14ac:dyDescent="0.3">
      <c r="C74">
        <v>160</v>
      </c>
      <c r="D74">
        <v>0</v>
      </c>
      <c r="E74" s="7">
        <v>0.66666666666666663</v>
      </c>
      <c r="F74">
        <v>100</v>
      </c>
      <c r="G74">
        <v>0</v>
      </c>
      <c r="H74" s="7">
        <v>1</v>
      </c>
    </row>
    <row r="75" spans="3:8" ht="15" thickBot="1" x14ac:dyDescent="0.35">
      <c r="C75" s="4" t="s">
        <v>39</v>
      </c>
      <c r="D75" s="4">
        <v>3</v>
      </c>
      <c r="E75" s="8">
        <v>1</v>
      </c>
      <c r="F75" s="4">
        <v>160</v>
      </c>
      <c r="G75" s="4">
        <v>0</v>
      </c>
      <c r="H75" s="8">
        <v>1</v>
      </c>
    </row>
    <row r="81" ht="12" customHeight="1" x14ac:dyDescent="0.3"/>
  </sheetData>
  <sortState xmlns:xlrd2="http://schemas.microsoft.com/office/spreadsheetml/2017/richdata2" ref="F69:G75">
    <sortCondition descending="1" ref="G69"/>
  </sortState>
  <pageMargins left="0.23622047244094488" right="0.23622047244094488" top="0.74803149606299213" bottom="0.74803149606299213" header="0.31496062992125984" footer="0.31496062992125984"/>
  <pageSetup paperSize="9" fitToHeight="0" orientation="portrait" horizontalDpi="4294967292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F31A-3B24-4A7F-8EAA-A9ABBB22C386}">
  <dimension ref="A1:M61"/>
  <sheetViews>
    <sheetView workbookViewId="0"/>
  </sheetViews>
  <sheetFormatPr defaultRowHeight="14.4" x14ac:dyDescent="0.3"/>
  <cols>
    <col min="2" max="2" width="16.5546875" bestFit="1" customWidth="1"/>
    <col min="3" max="3" width="12" bestFit="1" customWidth="1"/>
    <col min="5" max="5" width="16.5546875" bestFit="1" customWidth="1"/>
    <col min="6" max="6" width="12.6640625" bestFit="1" customWidth="1"/>
    <col min="7" max="7" width="17.6640625" bestFit="1" customWidth="1"/>
    <col min="8" max="8" width="26.44140625" bestFit="1" customWidth="1"/>
    <col min="9" max="9" width="12.6640625" bestFit="1" customWidth="1"/>
    <col min="10" max="10" width="7" bestFit="1" customWidth="1"/>
    <col min="11" max="13" width="12" bestFit="1" customWidth="1"/>
  </cols>
  <sheetData>
    <row r="1" spans="1:13" ht="28.8" x14ac:dyDescent="0.3">
      <c r="A1" s="9" t="s">
        <v>42</v>
      </c>
      <c r="B1" s="9" t="s">
        <v>43</v>
      </c>
      <c r="C1" s="9" t="s">
        <v>44</v>
      </c>
    </row>
    <row r="2" spans="1:13" x14ac:dyDescent="0.3">
      <c r="A2" s="10">
        <v>78</v>
      </c>
      <c r="B2" s="10">
        <v>85</v>
      </c>
      <c r="C2" s="10">
        <v>90</v>
      </c>
    </row>
    <row r="3" spans="1:13" x14ac:dyDescent="0.3">
      <c r="A3" s="10">
        <v>82</v>
      </c>
      <c r="B3" s="10">
        <v>88</v>
      </c>
      <c r="C3" s="10">
        <v>92</v>
      </c>
    </row>
    <row r="4" spans="1:13" x14ac:dyDescent="0.3">
      <c r="A4" s="10">
        <v>85</v>
      </c>
      <c r="B4" s="10">
        <v>84</v>
      </c>
      <c r="C4" s="10">
        <v>88</v>
      </c>
      <c r="G4" t="s">
        <v>45</v>
      </c>
    </row>
    <row r="5" spans="1:13" x14ac:dyDescent="0.3">
      <c r="A5" s="10">
        <v>80</v>
      </c>
      <c r="B5" s="10">
        <v>90</v>
      </c>
      <c r="C5" s="10">
        <v>91</v>
      </c>
    </row>
    <row r="6" spans="1:13" ht="15" thickBot="1" x14ac:dyDescent="0.35">
      <c r="A6" s="10">
        <v>79</v>
      </c>
      <c r="B6" s="10">
        <v>87</v>
      </c>
      <c r="C6" s="10">
        <v>89</v>
      </c>
      <c r="G6" t="s">
        <v>46</v>
      </c>
    </row>
    <row r="7" spans="1:13" x14ac:dyDescent="0.3">
      <c r="G7" s="5" t="s">
        <v>47</v>
      </c>
      <c r="H7" s="5" t="s">
        <v>35</v>
      </c>
      <c r="I7" s="5" t="s">
        <v>34</v>
      </c>
      <c r="J7" s="5" t="s">
        <v>48</v>
      </c>
      <c r="K7" s="5" t="s">
        <v>49</v>
      </c>
    </row>
    <row r="8" spans="1:13" x14ac:dyDescent="0.3">
      <c r="G8" t="s">
        <v>42</v>
      </c>
      <c r="H8">
        <v>5</v>
      </c>
      <c r="I8">
        <v>404</v>
      </c>
      <c r="J8">
        <v>80.8</v>
      </c>
      <c r="K8">
        <v>7.7000000000000011</v>
      </c>
    </row>
    <row r="9" spans="1:13" x14ac:dyDescent="0.3">
      <c r="G9" t="s">
        <v>43</v>
      </c>
      <c r="H9">
        <v>5</v>
      </c>
      <c r="I9">
        <v>434</v>
      </c>
      <c r="J9">
        <v>86.8</v>
      </c>
      <c r="K9">
        <v>5.7</v>
      </c>
    </row>
    <row r="10" spans="1:13" ht="15" thickBot="1" x14ac:dyDescent="0.35">
      <c r="G10" s="4" t="s">
        <v>44</v>
      </c>
      <c r="H10" s="4">
        <v>5</v>
      </c>
      <c r="I10" s="4">
        <v>450</v>
      </c>
      <c r="J10" s="4">
        <v>90</v>
      </c>
      <c r="K10" s="4">
        <v>2.5</v>
      </c>
    </row>
    <row r="13" spans="1:13" ht="15" thickBot="1" x14ac:dyDescent="0.35">
      <c r="G13" t="s">
        <v>50</v>
      </c>
    </row>
    <row r="14" spans="1:13" x14ac:dyDescent="0.3">
      <c r="G14" s="5" t="s">
        <v>51</v>
      </c>
      <c r="H14" s="5" t="s">
        <v>52</v>
      </c>
      <c r="I14" s="5" t="s">
        <v>53</v>
      </c>
      <c r="J14" s="5" t="s">
        <v>54</v>
      </c>
      <c r="K14" s="5" t="s">
        <v>55</v>
      </c>
      <c r="L14" s="5" t="s">
        <v>56</v>
      </c>
      <c r="M14" s="5" t="s">
        <v>57</v>
      </c>
    </row>
    <row r="15" spans="1:13" x14ac:dyDescent="0.3">
      <c r="G15" t="s">
        <v>58</v>
      </c>
      <c r="H15">
        <v>218.13333333333327</v>
      </c>
      <c r="I15">
        <v>2</v>
      </c>
      <c r="J15">
        <v>109.06666666666663</v>
      </c>
      <c r="K15">
        <v>20.578616352201248</v>
      </c>
      <c r="L15">
        <v>1.3234675335202875E-4</v>
      </c>
      <c r="M15">
        <v>3.8852938346523942</v>
      </c>
    </row>
    <row r="16" spans="1:13" x14ac:dyDescent="0.3">
      <c r="G16" t="s">
        <v>59</v>
      </c>
      <c r="H16">
        <v>63.600000000000009</v>
      </c>
      <c r="I16">
        <v>12</v>
      </c>
      <c r="J16">
        <v>5.3000000000000007</v>
      </c>
    </row>
    <row r="18" spans="2:13" ht="15" thickBot="1" x14ac:dyDescent="0.35">
      <c r="G18" s="4" t="s">
        <v>60</v>
      </c>
      <c r="H18" s="4">
        <v>281.73333333333329</v>
      </c>
      <c r="I18" s="4">
        <v>14</v>
      </c>
      <c r="J18" s="4"/>
      <c r="K18" s="4"/>
      <c r="L18" s="4"/>
      <c r="M18" s="4"/>
    </row>
    <row r="30" spans="2:13" x14ac:dyDescent="0.3">
      <c r="B30" s="9" t="s">
        <v>61</v>
      </c>
      <c r="C30" s="9" t="s">
        <v>62</v>
      </c>
      <c r="G30" t="s">
        <v>63</v>
      </c>
    </row>
    <row r="31" spans="2:13" ht="15" thickBot="1" x14ac:dyDescent="0.35">
      <c r="B31" s="10">
        <v>1</v>
      </c>
      <c r="C31" s="10">
        <v>65</v>
      </c>
    </row>
    <row r="32" spans="2:13" x14ac:dyDescent="0.3">
      <c r="B32" s="10">
        <v>2</v>
      </c>
      <c r="C32" s="10">
        <v>72</v>
      </c>
      <c r="G32" s="5"/>
      <c r="H32" s="5" t="s">
        <v>61</v>
      </c>
      <c r="I32" s="5" t="s">
        <v>62</v>
      </c>
    </row>
    <row r="33" spans="2:10" x14ac:dyDescent="0.3">
      <c r="B33" s="10">
        <v>3</v>
      </c>
      <c r="C33" s="10">
        <v>68</v>
      </c>
      <c r="G33" t="s">
        <v>23</v>
      </c>
      <c r="H33">
        <v>5.5</v>
      </c>
      <c r="I33">
        <v>70.400000000000006</v>
      </c>
    </row>
    <row r="34" spans="2:10" x14ac:dyDescent="0.3">
      <c r="B34" s="10">
        <v>4</v>
      </c>
      <c r="C34" s="10">
        <v>75</v>
      </c>
      <c r="G34" t="s">
        <v>49</v>
      </c>
      <c r="H34">
        <v>9.1666666666666661</v>
      </c>
      <c r="I34">
        <v>10.266666666666667</v>
      </c>
    </row>
    <row r="35" spans="2:10" x14ac:dyDescent="0.3">
      <c r="B35" s="10">
        <v>5</v>
      </c>
      <c r="C35" s="10">
        <v>70</v>
      </c>
      <c r="G35" t="s">
        <v>64</v>
      </c>
      <c r="H35">
        <v>10</v>
      </c>
      <c r="I35">
        <v>10</v>
      </c>
    </row>
    <row r="36" spans="2:10" x14ac:dyDescent="0.3">
      <c r="B36" s="10">
        <v>6</v>
      </c>
      <c r="C36" s="10">
        <v>69</v>
      </c>
      <c r="G36" t="s">
        <v>65</v>
      </c>
      <c r="H36">
        <v>0.29779019085575481</v>
      </c>
    </row>
    <row r="37" spans="2:10" x14ac:dyDescent="0.3">
      <c r="B37" s="10">
        <v>7</v>
      </c>
      <c r="C37" s="10">
        <v>74</v>
      </c>
      <c r="G37" t="s">
        <v>66</v>
      </c>
      <c r="H37">
        <v>0</v>
      </c>
    </row>
    <row r="38" spans="2:10" x14ac:dyDescent="0.3">
      <c r="B38" s="10">
        <v>8</v>
      </c>
      <c r="C38" s="10">
        <v>67</v>
      </c>
      <c r="G38" t="s">
        <v>53</v>
      </c>
      <c r="H38">
        <v>9</v>
      </c>
    </row>
    <row r="39" spans="2:10" x14ac:dyDescent="0.3">
      <c r="B39" s="10">
        <v>9</v>
      </c>
      <c r="C39" s="10">
        <v>73</v>
      </c>
      <c r="G39" t="s">
        <v>67</v>
      </c>
      <c r="H39">
        <v>-55.537971089243676</v>
      </c>
    </row>
    <row r="40" spans="2:10" x14ac:dyDescent="0.3">
      <c r="B40" s="10">
        <v>10</v>
      </c>
      <c r="C40" s="10">
        <v>71</v>
      </c>
      <c r="G40" t="s">
        <v>68</v>
      </c>
      <c r="H40">
        <v>5.0044248080092631E-13</v>
      </c>
    </row>
    <row r="41" spans="2:10" x14ac:dyDescent="0.3">
      <c r="G41" t="s">
        <v>69</v>
      </c>
      <c r="H41">
        <v>1.8331129326562374</v>
      </c>
    </row>
    <row r="42" spans="2:10" x14ac:dyDescent="0.3">
      <c r="G42" t="s">
        <v>70</v>
      </c>
      <c r="H42">
        <v>1.0008849616018526E-12</v>
      </c>
    </row>
    <row r="43" spans="2:10" ht="15" thickBot="1" x14ac:dyDescent="0.35">
      <c r="G43" s="4" t="s">
        <v>71</v>
      </c>
      <c r="H43" s="4">
        <v>2.2621571627982053</v>
      </c>
      <c r="I43" s="4"/>
    </row>
    <row r="45" spans="2:10" ht="15" thickBot="1" x14ac:dyDescent="0.35"/>
    <row r="46" spans="2:10" x14ac:dyDescent="0.3">
      <c r="B46" s="6" t="s">
        <v>22</v>
      </c>
      <c r="C46" s="6"/>
      <c r="E46" s="6" t="s">
        <v>22</v>
      </c>
      <c r="F46" s="6"/>
      <c r="H46" t="s">
        <v>72</v>
      </c>
    </row>
    <row r="47" spans="2:10" ht="15" thickBot="1" x14ac:dyDescent="0.35"/>
    <row r="48" spans="2:10" x14ac:dyDescent="0.3">
      <c r="B48" t="s">
        <v>23</v>
      </c>
      <c r="C48">
        <v>5.5</v>
      </c>
      <c r="E48" t="s">
        <v>23</v>
      </c>
      <c r="F48">
        <v>70.400000000000006</v>
      </c>
      <c r="H48" s="5"/>
      <c r="I48" s="5" t="s">
        <v>61</v>
      </c>
      <c r="J48" s="5" t="s">
        <v>62</v>
      </c>
    </row>
    <row r="49" spans="2:10" x14ac:dyDescent="0.3">
      <c r="B49" t="s">
        <v>24</v>
      </c>
      <c r="C49">
        <v>0.9574271077563381</v>
      </c>
      <c r="E49" t="s">
        <v>24</v>
      </c>
      <c r="F49">
        <v>1.0132456102380443</v>
      </c>
      <c r="H49" t="s">
        <v>23</v>
      </c>
      <c r="I49">
        <v>5.5</v>
      </c>
      <c r="J49">
        <v>70.400000000000006</v>
      </c>
    </row>
    <row r="50" spans="2:10" x14ac:dyDescent="0.3">
      <c r="B50" t="s">
        <v>25</v>
      </c>
      <c r="C50">
        <v>5.5</v>
      </c>
      <c r="E50" t="s">
        <v>25</v>
      </c>
      <c r="F50">
        <v>70.5</v>
      </c>
      <c r="H50" t="s">
        <v>73</v>
      </c>
      <c r="I50">
        <v>9.1666000000000007</v>
      </c>
      <c r="J50">
        <v>10.266</v>
      </c>
    </row>
    <row r="51" spans="2:10" x14ac:dyDescent="0.3">
      <c r="B51" t="s">
        <v>26</v>
      </c>
      <c r="C51" t="e">
        <v>#N/A</v>
      </c>
      <c r="E51" t="s">
        <v>26</v>
      </c>
      <c r="F51" t="e">
        <v>#N/A</v>
      </c>
      <c r="H51" t="s">
        <v>64</v>
      </c>
      <c r="I51">
        <v>10</v>
      </c>
      <c r="J51">
        <v>10</v>
      </c>
    </row>
    <row r="52" spans="2:10" x14ac:dyDescent="0.3">
      <c r="B52" t="s">
        <v>27</v>
      </c>
      <c r="C52">
        <v>3.0276503540974917</v>
      </c>
      <c r="E52" t="s">
        <v>27</v>
      </c>
      <c r="F52">
        <v>3.2041639575194445</v>
      </c>
      <c r="H52" t="s">
        <v>66</v>
      </c>
      <c r="I52">
        <v>0</v>
      </c>
    </row>
    <row r="53" spans="2:10" x14ac:dyDescent="0.3">
      <c r="B53" t="s">
        <v>28</v>
      </c>
      <c r="C53">
        <v>9.1666666666666661</v>
      </c>
      <c r="E53" t="s">
        <v>28</v>
      </c>
      <c r="F53">
        <v>10.266666666666667</v>
      </c>
      <c r="H53" t="s">
        <v>74</v>
      </c>
      <c r="I53">
        <v>-46.556383951881067</v>
      </c>
    </row>
    <row r="54" spans="2:10" x14ac:dyDescent="0.3">
      <c r="B54" t="s">
        <v>29</v>
      </c>
      <c r="C54">
        <v>-1.2000000000000002</v>
      </c>
      <c r="E54" t="s">
        <v>29</v>
      </c>
      <c r="F54">
        <v>-0.84183673469387665</v>
      </c>
      <c r="H54" t="s">
        <v>75</v>
      </c>
      <c r="I54">
        <v>0</v>
      </c>
    </row>
    <row r="55" spans="2:10" x14ac:dyDescent="0.3">
      <c r="B55" t="s">
        <v>30</v>
      </c>
      <c r="C55">
        <v>0</v>
      </c>
      <c r="E55" t="s">
        <v>30</v>
      </c>
      <c r="F55">
        <v>-0.20063178769255058</v>
      </c>
      <c r="H55" t="s">
        <v>76</v>
      </c>
      <c r="I55">
        <v>1.6448536269514715</v>
      </c>
    </row>
    <row r="56" spans="2:10" x14ac:dyDescent="0.3">
      <c r="B56" t="s">
        <v>31</v>
      </c>
      <c r="C56">
        <v>9</v>
      </c>
      <c r="E56" t="s">
        <v>31</v>
      </c>
      <c r="F56">
        <v>10</v>
      </c>
      <c r="H56" t="s">
        <v>77</v>
      </c>
      <c r="I56">
        <v>0</v>
      </c>
    </row>
    <row r="57" spans="2:10" ht="15" thickBot="1" x14ac:dyDescent="0.35">
      <c r="B57" t="s">
        <v>32</v>
      </c>
      <c r="C57">
        <v>1</v>
      </c>
      <c r="E57" t="s">
        <v>32</v>
      </c>
      <c r="F57">
        <v>65</v>
      </c>
      <c r="H57" s="4" t="s">
        <v>78</v>
      </c>
      <c r="I57" s="4">
        <v>1.9599639845400536</v>
      </c>
      <c r="J57" s="4"/>
    </row>
    <row r="58" spans="2:10" x14ac:dyDescent="0.3">
      <c r="B58" t="s">
        <v>33</v>
      </c>
      <c r="C58">
        <v>10</v>
      </c>
      <c r="E58" t="s">
        <v>33</v>
      </c>
      <c r="F58">
        <v>75</v>
      </c>
    </row>
    <row r="59" spans="2:10" x14ac:dyDescent="0.3">
      <c r="B59" t="s">
        <v>34</v>
      </c>
      <c r="C59">
        <v>55</v>
      </c>
      <c r="E59" t="s">
        <v>34</v>
      </c>
      <c r="F59">
        <v>704</v>
      </c>
    </row>
    <row r="60" spans="2:10" ht="15" thickBot="1" x14ac:dyDescent="0.35">
      <c r="B60" s="4" t="s">
        <v>35</v>
      </c>
      <c r="C60" s="4">
        <v>10</v>
      </c>
      <c r="E60" s="4" t="s">
        <v>35</v>
      </c>
      <c r="F60" s="4">
        <v>10</v>
      </c>
    </row>
    <row r="61" spans="2:10" x14ac:dyDescent="0.3">
      <c r="C61">
        <v>0</v>
      </c>
      <c r="F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singh</dc:creator>
  <cp:lastModifiedBy>LENOVO</cp:lastModifiedBy>
  <cp:lastPrinted>2025-12-03T04:00:44Z</cp:lastPrinted>
  <dcterms:created xsi:type="dcterms:W3CDTF">2025-10-13T03:28:06Z</dcterms:created>
  <dcterms:modified xsi:type="dcterms:W3CDTF">2026-03-10T06:08:10Z</dcterms:modified>
</cp:coreProperties>
</file>