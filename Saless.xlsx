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gi\digital lab\"/>
    </mc:Choice>
  </mc:AlternateContent>
  <xr:revisionPtr revIDLastSave="0" documentId="13_ncr:1_{0BF3D64D-B553-4D2B-9AA1-C6580569B84E}" xr6:coauthVersionLast="47" xr6:coauthVersionMax="47" xr10:uidLastSave="{00000000-0000-0000-0000-000000000000}"/>
  <bookViews>
    <workbookView xWindow="-108" yWindow="-108" windowWidth="23256" windowHeight="12456" xr2:uid="{3CFF160B-E5DA-4263-92EC-CD2D4D3361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9" i="1" l="1"/>
  <c r="R27" i="1"/>
  <c r="R25" i="1"/>
  <c r="P29" i="1"/>
  <c r="P27" i="1"/>
  <c r="P25" i="1"/>
  <c r="N25" i="1"/>
  <c r="N29" i="1"/>
  <c r="N27" i="1"/>
  <c r="L29" i="1"/>
  <c r="L27" i="1"/>
  <c r="L25" i="1"/>
  <c r="J29" i="1"/>
  <c r="J27" i="1"/>
  <c r="J25" i="1"/>
  <c r="I29" i="1"/>
  <c r="I27" i="1"/>
  <c r="I25" i="1"/>
  <c r="G31" i="1"/>
  <c r="G29" i="1"/>
  <c r="E29" i="1"/>
  <c r="L7" i="1"/>
  <c r="G25" i="1"/>
  <c r="E25" i="1"/>
  <c r="J4" i="1"/>
  <c r="J6" i="1"/>
  <c r="J5" i="1"/>
  <c r="J3" i="1"/>
  <c r="J2" i="1"/>
  <c r="J9" i="1"/>
  <c r="J12" i="1"/>
  <c r="J13" i="1"/>
  <c r="J7" i="1"/>
  <c r="J11" i="1"/>
  <c r="J8" i="1"/>
  <c r="J10" i="1"/>
  <c r="J20" i="1"/>
  <c r="J16" i="1"/>
  <c r="J15" i="1"/>
  <c r="J14" i="1"/>
  <c r="J18" i="1"/>
  <c r="J19" i="1"/>
  <c r="J17" i="1"/>
  <c r="J21" i="1"/>
  <c r="L5" i="1"/>
  <c r="L6" i="1"/>
  <c r="L4" i="1"/>
  <c r="L3" i="1"/>
  <c r="L2" i="1"/>
</calcChain>
</file>

<file path=xl/sharedStrings.xml><?xml version="1.0" encoding="utf-8"?>
<sst xmlns="http://schemas.openxmlformats.org/spreadsheetml/2006/main" count="131" uniqueCount="73">
  <si>
    <t>Employee Name</t>
  </si>
  <si>
    <t>Department</t>
  </si>
  <si>
    <t>Month</t>
  </si>
  <si>
    <t>Sales</t>
  </si>
  <si>
    <t>Target</t>
  </si>
  <si>
    <t>Bonus</t>
  </si>
  <si>
    <t>Status</t>
  </si>
  <si>
    <t>Amit Sharma</t>
  </si>
  <si>
    <t>January</t>
  </si>
  <si>
    <t>Achieved</t>
  </si>
  <si>
    <t>Priya Verma</t>
  </si>
  <si>
    <t>HR</t>
  </si>
  <si>
    <t>Not Achieved</t>
  </si>
  <si>
    <t>Rahul Mehta</t>
  </si>
  <si>
    <t>IT</t>
  </si>
  <si>
    <t>Neha Kapoor</t>
  </si>
  <si>
    <t>February</t>
  </si>
  <si>
    <t>Arjun Singh</t>
  </si>
  <si>
    <t>Kavita Joshi</t>
  </si>
  <si>
    <t>Rohit Gupta</t>
  </si>
  <si>
    <t>March</t>
  </si>
  <si>
    <t>Anjali Desai</t>
  </si>
  <si>
    <t>Vikram Malhotra</t>
  </si>
  <si>
    <t>April</t>
  </si>
  <si>
    <t>Pooja Nair</t>
  </si>
  <si>
    <t>Suresh Reddy</t>
  </si>
  <si>
    <t>May</t>
  </si>
  <si>
    <t>Meena Iyer</t>
  </si>
  <si>
    <t>Karan Khanna</t>
  </si>
  <si>
    <t>June</t>
  </si>
  <si>
    <t>Ritu Saxena</t>
  </si>
  <si>
    <t>Deepak Chauhan</t>
  </si>
  <si>
    <t>July</t>
  </si>
  <si>
    <t>Sneha Patil</t>
  </si>
  <si>
    <t>Mohit Agarwal</t>
  </si>
  <si>
    <t>August</t>
  </si>
  <si>
    <t>Shalini Gupta</t>
  </si>
  <si>
    <t>Nitin Bansal</t>
  </si>
  <si>
    <t>September</t>
  </si>
  <si>
    <t>Aditi Mishra</t>
  </si>
  <si>
    <t>first name</t>
  </si>
  <si>
    <t>deepak</t>
  </si>
  <si>
    <t>priya</t>
  </si>
  <si>
    <t>kavita</t>
  </si>
  <si>
    <t>pooja</t>
  </si>
  <si>
    <t>ritu</t>
  </si>
  <si>
    <t>shalini</t>
  </si>
  <si>
    <t>rahul</t>
  </si>
  <si>
    <t>arjun</t>
  </si>
  <si>
    <t>anjali</t>
  </si>
  <si>
    <t>suresh</t>
  </si>
  <si>
    <t>karan</t>
  </si>
  <si>
    <t>sneha</t>
  </si>
  <si>
    <t>nitin</t>
  </si>
  <si>
    <t>amit</t>
  </si>
  <si>
    <t>neha</t>
  </si>
  <si>
    <t>rohit</t>
  </si>
  <si>
    <t>vikram</t>
  </si>
  <si>
    <t>meena</t>
  </si>
  <si>
    <t>mohit</t>
  </si>
  <si>
    <t>aditi</t>
  </si>
  <si>
    <t>month abr</t>
  </si>
  <si>
    <t>jul</t>
  </si>
  <si>
    <t>jan</t>
  </si>
  <si>
    <t>feb</t>
  </si>
  <si>
    <t>apr</t>
  </si>
  <si>
    <t>jun</t>
  </si>
  <si>
    <t>aug</t>
  </si>
  <si>
    <t>mar</t>
  </si>
  <si>
    <t>may</t>
  </si>
  <si>
    <t>sep</t>
  </si>
  <si>
    <t>performance</t>
  </si>
  <si>
    <t>=IF([@Sales]&gt;[@Target],"excellent","need improvement")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</si>
</sst>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12"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508B9360-C3C1-4A6A-9489-CD015A40DD6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554200-FC80-4405-9412-D60C293835F0}" name="Table1" displayName="Table1" ref="A1:J21" totalsRowShown="0" headerRowDxfId="11" dataDxfId="10">
  <autoFilter ref="A1:J21" xr:uid="{6E554200-FC80-4405-9412-D60C293835F0}"/>
  <sortState xmlns:xlrd2="http://schemas.microsoft.com/office/spreadsheetml/2017/richdata2" ref="A2:J21">
    <sortCondition ref="B1:B21"/>
  </sortState>
  <tableColumns count="10">
    <tableColumn id="1" xr3:uid="{FD6C809C-565F-4108-ACDD-66F133F0900A}" name="Employee Name" dataDxfId="9"/>
    <tableColumn id="2" xr3:uid="{66F99C31-BC63-4682-BA46-4AE3801AA887}" name="Department" dataDxfId="8"/>
    <tableColumn id="3" xr3:uid="{B9367983-33E3-4A36-B23D-0022F115C05B}" name="Month" dataDxfId="7"/>
    <tableColumn id="4" xr3:uid="{9D9D65C9-55A2-4825-91FE-3238750C3850}" name="Sales" dataDxfId="6"/>
    <tableColumn id="5" xr3:uid="{4E1FCC8F-F110-470C-AD57-CC7044E11D9C}" name="Target" dataDxfId="5"/>
    <tableColumn id="6" xr3:uid="{5CB2BE65-ECAF-42CA-A51C-C25BC31A256D}" name="Bonus" dataDxfId="4"/>
    <tableColumn id="7" xr3:uid="{3B4DDA8D-1087-4617-9688-DE4FAB642E67}" name="Status" dataDxfId="3"/>
    <tableColumn id="17" xr3:uid="{1D170225-5DED-4C6A-9272-71D1CEA6108B}" name="first name" dataDxfId="2"/>
    <tableColumn id="18" xr3:uid="{25520CCE-56A5-429B-8C8D-54692BBF6CBF}" name="month abr" dataDxfId="1"/>
    <tableColumn id="19" xr3:uid="{671C17EE-0D11-4EB0-840A-93FCB4FE5CD4}" name="performance" dataDxfId="0">
      <calculatedColumnFormula>IF(Table1[[#This Row],[Sales]]&gt;Table1[[#This Row],[Target]],"excellent","need improvement")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3AD9C-A431-419B-A349-2DED6779BE70}">
  <dimension ref="A1:R31"/>
  <sheetViews>
    <sheetView tabSelected="1" topLeftCell="B4" zoomScale="102" zoomScaleNormal="160" workbookViewId="0">
      <selection activeCell="R30" sqref="R30"/>
    </sheetView>
  </sheetViews>
  <sheetFormatPr defaultRowHeight="14.4" x14ac:dyDescent="0.3"/>
  <cols>
    <col min="1" max="1" width="19.33203125" bestFit="1" customWidth="1"/>
    <col min="2" max="2" width="15.5546875" bestFit="1" customWidth="1"/>
    <col min="3" max="3" width="11.21875" bestFit="1" customWidth="1"/>
    <col min="4" max="4" width="9.6640625" bestFit="1" customWidth="1"/>
    <col min="5" max="5" width="10.77734375" bestFit="1" customWidth="1"/>
    <col min="6" max="6" width="12" customWidth="1"/>
    <col min="7" max="7" width="18.5546875" customWidth="1"/>
    <col min="8" max="8" width="16.5546875" customWidth="1"/>
    <col min="10" max="10" width="23.88671875" customWidth="1"/>
  </cols>
  <sheetData>
    <row r="1" spans="1:1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</v>
      </c>
      <c r="I1" s="1" t="s">
        <v>61</v>
      </c>
      <c r="J1" s="1" t="s">
        <v>71</v>
      </c>
    </row>
    <row r="2" spans="1:13" x14ac:dyDescent="0.3">
      <c r="A2" s="2" t="s">
        <v>36</v>
      </c>
      <c r="B2" s="2" t="s">
        <v>11</v>
      </c>
      <c r="C2" s="2" t="s">
        <v>35</v>
      </c>
      <c r="D2" s="2">
        <v>51000</v>
      </c>
      <c r="E2" s="2">
        <v>52000</v>
      </c>
      <c r="F2" s="2">
        <v>3200</v>
      </c>
      <c r="G2" s="2" t="s">
        <v>12</v>
      </c>
      <c r="H2" s="2" t="s">
        <v>46</v>
      </c>
      <c r="I2" s="2" t="s">
        <v>67</v>
      </c>
      <c r="J2" s="2" t="str">
        <f>IF(Table1[[#This Row],[Sales]]&gt;Table1[[#This Row],[Target]],"excellent","need improvement")</f>
        <v>need improvement</v>
      </c>
      <c r="K2">
        <v>1</v>
      </c>
      <c r="L2">
        <f>SUM(Table1[Target])</f>
        <v>1128000</v>
      </c>
    </row>
    <row r="3" spans="1:13" x14ac:dyDescent="0.3">
      <c r="A3" s="2" t="s">
        <v>30</v>
      </c>
      <c r="B3" s="2" t="s">
        <v>11</v>
      </c>
      <c r="C3" s="2" t="s">
        <v>29</v>
      </c>
      <c r="D3" s="2">
        <v>56000</v>
      </c>
      <c r="E3" s="2">
        <v>54000</v>
      </c>
      <c r="F3" s="2">
        <v>4000</v>
      </c>
      <c r="G3" s="2" t="s">
        <v>9</v>
      </c>
      <c r="H3" s="2" t="s">
        <v>45</v>
      </c>
      <c r="I3" s="2" t="s">
        <v>66</v>
      </c>
      <c r="J3" s="2" t="str">
        <f>IF(Table1[[#This Row],[Sales]]&gt;Table1[[#This Row],[Target]],"excellent","need improvement")</f>
        <v>excellent</v>
      </c>
      <c r="K3">
        <v>2</v>
      </c>
      <c r="L3">
        <f>MAX(Table1[Sales])</f>
        <v>75000</v>
      </c>
    </row>
    <row r="4" spans="1:13" x14ac:dyDescent="0.3">
      <c r="A4" s="2" t="s">
        <v>10</v>
      </c>
      <c r="B4" s="2" t="s">
        <v>11</v>
      </c>
      <c r="C4" s="2" t="s">
        <v>8</v>
      </c>
      <c r="D4" s="2">
        <v>48000</v>
      </c>
      <c r="E4" s="2">
        <v>50000</v>
      </c>
      <c r="F4" s="2">
        <v>3000</v>
      </c>
      <c r="G4" s="2" t="s">
        <v>12</v>
      </c>
      <c r="H4" s="2" t="s">
        <v>42</v>
      </c>
      <c r="I4" s="2" t="s">
        <v>63</v>
      </c>
      <c r="J4" s="2" t="str">
        <f>IF(Table1[[#This Row],[Sales]]&gt;Table1[[#This Row],[Target]],"excellent","need improvement")</f>
        <v>need improvement</v>
      </c>
      <c r="K4">
        <v>3</v>
      </c>
      <c r="L4">
        <f>MIN(Table1[Sales])</f>
        <v>45000</v>
      </c>
    </row>
    <row r="5" spans="1:13" x14ac:dyDescent="0.3">
      <c r="A5" s="2" t="s">
        <v>24</v>
      </c>
      <c r="B5" s="2" t="s">
        <v>11</v>
      </c>
      <c r="C5" s="2" t="s">
        <v>23</v>
      </c>
      <c r="D5" s="2">
        <v>47000</v>
      </c>
      <c r="E5" s="2">
        <v>48000</v>
      </c>
      <c r="F5" s="2">
        <v>3000</v>
      </c>
      <c r="G5" s="2" t="s">
        <v>12</v>
      </c>
      <c r="H5" s="2" t="s">
        <v>44</v>
      </c>
      <c r="I5" s="2" t="s">
        <v>65</v>
      </c>
      <c r="J5" s="2" t="str">
        <f>IF(Table1[[#This Row],[Sales]]&gt;Table1[[#This Row],[Target]],"excellent","need improvement")</f>
        <v>need improvement</v>
      </c>
      <c r="K5">
        <v>4</v>
      </c>
      <c r="L5">
        <f>COUNTA(Table1[Employee Name])</f>
        <v>20</v>
      </c>
    </row>
    <row r="6" spans="1:13" x14ac:dyDescent="0.3">
      <c r="A6" s="2" t="s">
        <v>18</v>
      </c>
      <c r="B6" s="2" t="s">
        <v>11</v>
      </c>
      <c r="C6" s="2" t="s">
        <v>16</v>
      </c>
      <c r="D6" s="2">
        <v>52000</v>
      </c>
      <c r="E6" s="2">
        <v>50000</v>
      </c>
      <c r="F6" s="2">
        <v>3500</v>
      </c>
      <c r="G6" s="2" t="s">
        <v>9</v>
      </c>
      <c r="H6" s="2" t="s">
        <v>43</v>
      </c>
      <c r="I6" s="2" t="s">
        <v>64</v>
      </c>
      <c r="J6" s="2" t="str">
        <f>IF(Table1[[#This Row],[Sales]]&gt;Table1[[#This Row],[Target]],"excellent","need improvement")</f>
        <v>excellent</v>
      </c>
      <c r="K6">
        <v>5</v>
      </c>
      <c r="L6">
        <f>COUNT(Table1[Sales])</f>
        <v>20</v>
      </c>
    </row>
    <row r="7" spans="1:13" x14ac:dyDescent="0.3">
      <c r="A7" s="2" t="s">
        <v>25</v>
      </c>
      <c r="B7" s="2" t="s">
        <v>14</v>
      </c>
      <c r="C7" s="2" t="s">
        <v>26</v>
      </c>
      <c r="D7" s="2">
        <v>54000</v>
      </c>
      <c r="E7" s="2">
        <v>52000</v>
      </c>
      <c r="F7" s="2">
        <v>3500</v>
      </c>
      <c r="G7" s="2" t="s">
        <v>9</v>
      </c>
      <c r="H7" s="2" t="s">
        <v>50</v>
      </c>
      <c r="I7" s="2" t="s">
        <v>69</v>
      </c>
      <c r="J7" s="2" t="str">
        <f>IF(Table1[[#This Row],[Sales]]&gt;Table1[[#This Row],[Target]],"excellent","need improvement")</f>
        <v>excellent</v>
      </c>
      <c r="K7">
        <v>6</v>
      </c>
      <c r="L7">
        <f>AVERAGE(Table1[Sales])</f>
        <v>58300</v>
      </c>
    </row>
    <row r="8" spans="1:13" x14ac:dyDescent="0.3">
      <c r="A8" s="2" t="s">
        <v>33</v>
      </c>
      <c r="B8" s="2" t="s">
        <v>14</v>
      </c>
      <c r="C8" s="2" t="s">
        <v>32</v>
      </c>
      <c r="D8" s="2">
        <v>48000</v>
      </c>
      <c r="E8" s="2">
        <v>50000</v>
      </c>
      <c r="F8" s="2">
        <v>3000</v>
      </c>
      <c r="G8" s="2" t="s">
        <v>12</v>
      </c>
      <c r="H8" s="2" t="s">
        <v>52</v>
      </c>
      <c r="I8" s="2" t="s">
        <v>62</v>
      </c>
      <c r="J8" s="2" t="str">
        <f>IF(Table1[[#This Row],[Sales]]&gt;Table1[[#This Row],[Target]],"excellent","need improvement")</f>
        <v>need improvement</v>
      </c>
      <c r="K8">
        <v>7</v>
      </c>
    </row>
    <row r="9" spans="1:13" x14ac:dyDescent="0.3">
      <c r="A9" s="2" t="s">
        <v>13</v>
      </c>
      <c r="B9" s="2" t="s">
        <v>14</v>
      </c>
      <c r="C9" s="2" t="s">
        <v>8</v>
      </c>
      <c r="D9" s="2">
        <v>55000</v>
      </c>
      <c r="E9" s="2">
        <v>52000</v>
      </c>
      <c r="F9" s="2">
        <v>4000</v>
      </c>
      <c r="G9" s="2" t="s">
        <v>9</v>
      </c>
      <c r="H9" s="2" t="s">
        <v>47</v>
      </c>
      <c r="I9" s="2" t="s">
        <v>63</v>
      </c>
      <c r="J9" s="2" t="str">
        <f>IF(Table1[[#This Row],[Sales]]&gt;Table1[[#This Row],[Target]],"excellent","need improvement")</f>
        <v>excellent</v>
      </c>
      <c r="K9">
        <v>8</v>
      </c>
    </row>
    <row r="10" spans="1:13" x14ac:dyDescent="0.3">
      <c r="A10" s="2" t="s">
        <v>37</v>
      </c>
      <c r="B10" s="2" t="s">
        <v>14</v>
      </c>
      <c r="C10" s="2" t="s">
        <v>38</v>
      </c>
      <c r="D10" s="2">
        <v>59000</v>
      </c>
      <c r="E10" s="2">
        <v>56000</v>
      </c>
      <c r="F10" s="2">
        <v>4500</v>
      </c>
      <c r="G10" s="2" t="s">
        <v>9</v>
      </c>
      <c r="H10" s="2" t="s">
        <v>53</v>
      </c>
      <c r="I10" s="2" t="s">
        <v>70</v>
      </c>
      <c r="J10" s="2" t="str">
        <f>IF(Table1[[#This Row],[Sales]]&gt;Table1[[#This Row],[Target]],"excellent","need improvement")</f>
        <v>excellent</v>
      </c>
      <c r="K10">
        <v>9</v>
      </c>
    </row>
    <row r="11" spans="1:13" x14ac:dyDescent="0.3">
      <c r="A11" s="2" t="s">
        <v>28</v>
      </c>
      <c r="B11" s="2" t="s">
        <v>14</v>
      </c>
      <c r="C11" s="2" t="s">
        <v>29</v>
      </c>
      <c r="D11" s="2">
        <v>50000</v>
      </c>
      <c r="E11" s="2">
        <v>52000</v>
      </c>
      <c r="F11" s="2">
        <v>3000</v>
      </c>
      <c r="G11" s="2" t="s">
        <v>12</v>
      </c>
      <c r="H11" s="2" t="s">
        <v>51</v>
      </c>
      <c r="I11" s="2" t="s">
        <v>66</v>
      </c>
      <c r="J11" s="2" t="str">
        <f>IF(Table1[[#This Row],[Sales]]&gt;Table1[[#This Row],[Target]],"excellent","need improvement")</f>
        <v>need improvement</v>
      </c>
      <c r="K11">
        <v>10</v>
      </c>
    </row>
    <row r="12" spans="1:13" x14ac:dyDescent="0.3">
      <c r="A12" s="2" t="s">
        <v>17</v>
      </c>
      <c r="B12" s="2" t="s">
        <v>14</v>
      </c>
      <c r="C12" s="2" t="s">
        <v>16</v>
      </c>
      <c r="D12" s="2">
        <v>45000</v>
      </c>
      <c r="E12" s="2">
        <v>50000</v>
      </c>
      <c r="F12" s="2">
        <v>3000</v>
      </c>
      <c r="G12" s="2" t="s">
        <v>12</v>
      </c>
      <c r="H12" s="2" t="s">
        <v>48</v>
      </c>
      <c r="I12" s="2" t="s">
        <v>64</v>
      </c>
      <c r="J12" s="2" t="str">
        <f>IF(Table1[[#This Row],[Sales]]&gt;Table1[[#This Row],[Target]],"excellent","need improvement")</f>
        <v>need improvement</v>
      </c>
      <c r="K12">
        <v>11</v>
      </c>
    </row>
    <row r="13" spans="1:13" x14ac:dyDescent="0.3">
      <c r="A13" s="2" t="s">
        <v>21</v>
      </c>
      <c r="B13" s="2" t="s">
        <v>14</v>
      </c>
      <c r="C13" s="2" t="s">
        <v>20</v>
      </c>
      <c r="D13" s="2">
        <v>61000</v>
      </c>
      <c r="E13" s="2">
        <v>55000</v>
      </c>
      <c r="F13" s="2">
        <v>5000</v>
      </c>
      <c r="G13" s="2" t="s">
        <v>9</v>
      </c>
      <c r="H13" s="2" t="s">
        <v>49</v>
      </c>
      <c r="I13" s="2" t="s">
        <v>68</v>
      </c>
      <c r="J13" s="2" t="str">
        <f>IF(Table1[[#This Row],[Sales]]&gt;Table1[[#This Row],[Target]],"excellent","need improvement")</f>
        <v>excellent</v>
      </c>
    </row>
    <row r="14" spans="1:13" x14ac:dyDescent="0.3">
      <c r="A14" s="2" t="s">
        <v>22</v>
      </c>
      <c r="B14" s="2" t="s">
        <v>3</v>
      </c>
      <c r="C14" s="2" t="s">
        <v>23</v>
      </c>
      <c r="D14" s="2">
        <v>72000</v>
      </c>
      <c r="E14" s="2">
        <v>65000</v>
      </c>
      <c r="F14" s="2">
        <v>7000</v>
      </c>
      <c r="G14" s="2" t="s">
        <v>9</v>
      </c>
      <c r="H14" s="2" t="s">
        <v>57</v>
      </c>
      <c r="I14" s="2" t="s">
        <v>65</v>
      </c>
      <c r="J14" s="2" t="str">
        <f>IF(Table1[[#This Row],[Sales]]&gt;Table1[[#This Row],[Target]],"excellent","need improvement")</f>
        <v>excellent</v>
      </c>
    </row>
    <row r="15" spans="1:13" x14ac:dyDescent="0.3">
      <c r="A15" s="2" t="s">
        <v>19</v>
      </c>
      <c r="B15" s="2" t="s">
        <v>3</v>
      </c>
      <c r="C15" s="2" t="s">
        <v>20</v>
      </c>
      <c r="D15" s="2">
        <v>58000</v>
      </c>
      <c r="E15" s="2">
        <v>60000</v>
      </c>
      <c r="F15" s="2">
        <v>4500</v>
      </c>
      <c r="G15" s="2" t="s">
        <v>12</v>
      </c>
      <c r="H15" s="2" t="s">
        <v>56</v>
      </c>
      <c r="I15" s="2" t="s">
        <v>68</v>
      </c>
      <c r="J15" s="2" t="str">
        <f>IF(Table1[[#This Row],[Sales]]&gt;Table1[[#This Row],[Target]],"excellent","need improvement")</f>
        <v>need improvement</v>
      </c>
      <c r="L15" s="3"/>
      <c r="M15" t="s">
        <v>72</v>
      </c>
    </row>
    <row r="16" spans="1:13" x14ac:dyDescent="0.3">
      <c r="A16" s="2" t="s">
        <v>15</v>
      </c>
      <c r="B16" s="2" t="s">
        <v>3</v>
      </c>
      <c r="C16" s="2" t="s">
        <v>16</v>
      </c>
      <c r="D16" s="2">
        <v>70000</v>
      </c>
      <c r="E16" s="2">
        <v>65000</v>
      </c>
      <c r="F16" s="2">
        <v>6000</v>
      </c>
      <c r="G16" s="2" t="s">
        <v>9</v>
      </c>
      <c r="H16" s="2" t="s">
        <v>55</v>
      </c>
      <c r="I16" s="2" t="s">
        <v>64</v>
      </c>
      <c r="J16" s="2" t="str">
        <f>IF(Table1[[#This Row],[Sales]]&gt;Table1[[#This Row],[Target]],"excellent","need improvement")</f>
        <v>excellent</v>
      </c>
    </row>
    <row r="17" spans="1:18" x14ac:dyDescent="0.3">
      <c r="A17" s="2" t="s">
        <v>34</v>
      </c>
      <c r="B17" s="2" t="s">
        <v>3</v>
      </c>
      <c r="C17" s="2" t="s">
        <v>35</v>
      </c>
      <c r="D17" s="2">
        <v>64000</v>
      </c>
      <c r="E17" s="2">
        <v>60000</v>
      </c>
      <c r="F17" s="2">
        <v>5000</v>
      </c>
      <c r="G17" s="2" t="s">
        <v>9</v>
      </c>
      <c r="H17" s="2" t="s">
        <v>59</v>
      </c>
      <c r="I17" s="2" t="s">
        <v>67</v>
      </c>
      <c r="J17" s="2" t="str">
        <f>IF(Table1[[#This Row],[Sales]]&gt;Table1[[#This Row],[Target]],"excellent","need improvement")</f>
        <v>excellent</v>
      </c>
    </row>
    <row r="18" spans="1:18" x14ac:dyDescent="0.3">
      <c r="A18" s="2" t="s">
        <v>27</v>
      </c>
      <c r="B18" s="2" t="s">
        <v>3</v>
      </c>
      <c r="C18" s="2" t="s">
        <v>26</v>
      </c>
      <c r="D18" s="2">
        <v>68000</v>
      </c>
      <c r="E18" s="2">
        <v>64000</v>
      </c>
      <c r="F18" s="2">
        <v>5500</v>
      </c>
      <c r="G18" s="2" t="s">
        <v>9</v>
      </c>
      <c r="H18" s="2" t="s">
        <v>58</v>
      </c>
      <c r="I18" s="2" t="s">
        <v>69</v>
      </c>
      <c r="J18" s="2" t="str">
        <f>IF(Table1[[#This Row],[Sales]]&gt;Table1[[#This Row],[Target]],"excellent","need improvement")</f>
        <v>excellent</v>
      </c>
    </row>
    <row r="19" spans="1:18" x14ac:dyDescent="0.3">
      <c r="A19" s="2" t="s">
        <v>31</v>
      </c>
      <c r="B19" s="2" t="s">
        <v>3</v>
      </c>
      <c r="C19" s="2" t="s">
        <v>32</v>
      </c>
      <c r="D19" s="2">
        <v>75000</v>
      </c>
      <c r="E19" s="2">
        <v>70000</v>
      </c>
      <c r="F19" s="2">
        <v>8000</v>
      </c>
      <c r="G19" s="2" t="s">
        <v>9</v>
      </c>
      <c r="H19" s="2" t="s">
        <v>41</v>
      </c>
      <c r="I19" s="2" t="s">
        <v>62</v>
      </c>
      <c r="J19" s="2" t="str">
        <f>IF(Table1[[#This Row],[Sales]]&gt;Table1[[#This Row],[Target]],"excellent","need improvement")</f>
        <v>excellent</v>
      </c>
    </row>
    <row r="20" spans="1:18" x14ac:dyDescent="0.3">
      <c r="A20" s="2" t="s">
        <v>7</v>
      </c>
      <c r="B20" s="2" t="s">
        <v>3</v>
      </c>
      <c r="C20" s="2" t="s">
        <v>8</v>
      </c>
      <c r="D20" s="2">
        <v>62000</v>
      </c>
      <c r="E20" s="2">
        <v>55000</v>
      </c>
      <c r="F20" s="2">
        <v>5000</v>
      </c>
      <c r="G20" s="2" t="s">
        <v>9</v>
      </c>
      <c r="H20" s="2" t="s">
        <v>54</v>
      </c>
      <c r="I20" s="2" t="s">
        <v>63</v>
      </c>
      <c r="J20" s="2" t="str">
        <f>IF(Table1[[#This Row],[Sales]]&gt;Table1[[#This Row],[Target]],"excellent","need improvement")</f>
        <v>excellent</v>
      </c>
    </row>
    <row r="21" spans="1:18" x14ac:dyDescent="0.3">
      <c r="A21" s="2" t="s">
        <v>39</v>
      </c>
      <c r="B21" s="2" t="s">
        <v>3</v>
      </c>
      <c r="C21" s="2" t="s">
        <v>38</v>
      </c>
      <c r="D21" s="2">
        <v>71000</v>
      </c>
      <c r="E21" s="2">
        <v>68000</v>
      </c>
      <c r="F21" s="2">
        <v>6000</v>
      </c>
      <c r="G21" s="2" t="s">
        <v>9</v>
      </c>
      <c r="H21" s="2" t="s">
        <v>60</v>
      </c>
      <c r="I21" s="2" t="s">
        <v>70</v>
      </c>
      <c r="J21" s="2" t="str">
        <f>IF(Table1[[#This Row],[Sales]]&gt;Table1[[#This Row],[Target]],"excellent","need improvement")</f>
        <v>excellent</v>
      </c>
    </row>
    <row r="25" spans="1:18" x14ac:dyDescent="0.3">
      <c r="E25">
        <f>SUMIF(Table1[Department],"it",Table1[Sales])</f>
        <v>372000</v>
      </c>
      <c r="G25">
        <f>AVERAGEIF(Table1[performance],"excellent",Table1[Bonus])</f>
        <v>5153.8461538461543</v>
      </c>
      <c r="I25">
        <f>SUMIF(Table1[Department],"sales",Table1[Sales])</f>
        <v>540000</v>
      </c>
      <c r="J25">
        <f>AVERAGEIF(Table1[Department],"it",Table1[Sales])</f>
        <v>53142.857142857145</v>
      </c>
      <c r="L25">
        <f>COUNTIF(Table1[[#All],[Department]],"hr")</f>
        <v>5</v>
      </c>
      <c r="N25">
        <f>SUMIFS(Table1[Sales],Table1[Department],"sales",Table1[Month],"july")</f>
        <v>75000</v>
      </c>
      <c r="P25">
        <f>COUNTIFS(Table1[Department],"sales",Table1[Status],"achieved")</f>
        <v>7</v>
      </c>
      <c r="R25">
        <f>AVERAGEIFS(Table1[Sales],Table1[Department],"sales",Table1[Status],"achieved")</f>
        <v>68857.142857142855</v>
      </c>
    </row>
    <row r="27" spans="1:18" x14ac:dyDescent="0.3">
      <c r="I27">
        <f>SUMIF(Table1[Status],"achieved",Table1[Bonus])</f>
        <v>67000</v>
      </c>
      <c r="J27">
        <f>AVERAGEIF(Table1[performance],"excellent",Table1[Bonus])</f>
        <v>5153.8461538461543</v>
      </c>
      <c r="L27">
        <f>COUNTIF(Table1[performance],"excellent")</f>
        <v>13</v>
      </c>
      <c r="N27">
        <f>SUMIFS(Table1[Bonus],Table1[Department],"IT",Table1[Status],"ACHIEVED")</f>
        <v>17000</v>
      </c>
      <c r="P27">
        <f>COUNTIFS(Table1[Department],"it",Table1[performance],"excellent")</f>
        <v>4</v>
      </c>
      <c r="R27">
        <f>AVERAGEIFS(Table1[Bonus],Table1[Department],"it",Table1[performance],"excellent")</f>
        <v>4250</v>
      </c>
    </row>
    <row r="29" spans="1:18" x14ac:dyDescent="0.3">
      <c r="E29">
        <f>COUNTIF(Table1[Department],"sales")</f>
        <v>8</v>
      </c>
      <c r="G29">
        <f>COUNTIFS(Table1[Department],"sales",Table1[Status],"Achieved")</f>
        <v>7</v>
      </c>
      <c r="I29">
        <f>SUMIF(Table1[Month],"july",Table1[Sales])</f>
        <v>123000</v>
      </c>
      <c r="J29">
        <f>AVERAGEIF(Table1[Status],"not achieved",Table1[Sales])</f>
        <v>49571.428571428572</v>
      </c>
      <c r="L29">
        <f>COUNTIF(Table1[Status],"achieved")</f>
        <v>13</v>
      </c>
      <c r="N29">
        <f>SUMIFS(Table1[Sales],Table1[Department],"HR",Table1[Status],"achieved")</f>
        <v>108000</v>
      </c>
      <c r="P29">
        <f>COUNTIFS(Table1[Month],"january",Table1[Status],"not achieved")</f>
        <v>1</v>
      </c>
      <c r="R29">
        <f>AVERAGEIFS(Table1[Sales],Table1[Department],"hr",Table1[Status],"not achieved")</f>
        <v>48666.666666666664</v>
      </c>
    </row>
    <row r="31" spans="1:18" x14ac:dyDescent="0.3">
      <c r="G31">
        <f>SUMIFS(Table1[Sales],Table1[Department],"HR",Table1[Status],"achieved")</f>
        <v>108000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singh</dc:creator>
  <cp:lastModifiedBy>LENOVO</cp:lastModifiedBy>
  <dcterms:created xsi:type="dcterms:W3CDTF">2026-03-10T06:03:22Z</dcterms:created>
  <dcterms:modified xsi:type="dcterms:W3CDTF">2026-03-11T06:52:43Z</dcterms:modified>
</cp:coreProperties>
</file>