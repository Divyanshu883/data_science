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gi\digital lab\excel\"/>
    </mc:Choice>
  </mc:AlternateContent>
  <xr:revisionPtr revIDLastSave="0" documentId="13_ncr:1_{197CBA31-15F4-4861-8FBF-B863FD1E8D47}" xr6:coauthVersionLast="47" xr6:coauthVersionMax="47" xr10:uidLastSave="{00000000-0000-0000-0000-000000000000}"/>
  <bookViews>
    <workbookView xWindow="-108" yWindow="-108" windowWidth="23256" windowHeight="12456" xr2:uid="{E43F3063-E185-49EC-8B16-27AC1A704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1" l="1" a="1"/>
  <c r="L22" i="1" s="1"/>
  <c r="L13" i="1" a="1"/>
  <c r="L13" i="1" s="1"/>
  <c r="I15" i="1"/>
  <c r="I14" i="1"/>
  <c r="I13" i="1"/>
  <c r="E16" i="1"/>
  <c r="E15" i="1"/>
  <c r="E14" i="1"/>
  <c r="E13" i="1"/>
  <c r="B16" i="1"/>
  <c r="B15" i="1"/>
  <c r="B14" i="1"/>
  <c r="B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<sst xmlns="http://schemas.openxmlformats.org/spreadsheetml/2006/main" count="61" uniqueCount="40">
  <si>
    <t>Patient_ID</t>
  </si>
  <si>
    <t>Name</t>
  </si>
  <si>
    <t>Age</t>
  </si>
  <si>
    <t>Gender</t>
  </si>
  <si>
    <t>Disease</t>
  </si>
  <si>
    <t>Doctor</t>
  </si>
  <si>
    <t>Fees</t>
  </si>
  <si>
    <t>Visit_Date</t>
  </si>
  <si>
    <t>City</t>
  </si>
  <si>
    <t>P101</t>
  </si>
  <si>
    <t>Amit Sharma</t>
  </si>
  <si>
    <t>M</t>
  </si>
  <si>
    <t>Fever</t>
  </si>
  <si>
    <t>Dr. Mehta</t>
  </si>
  <si>
    <t>Delhi</t>
  </si>
  <si>
    <t>P102</t>
  </si>
  <si>
    <t>Riya Singh</t>
  </si>
  <si>
    <t>F</t>
  </si>
  <si>
    <t>Diabetes</t>
  </si>
  <si>
    <t>Dr. Khan</t>
  </si>
  <si>
    <t>Mumbai</t>
  </si>
  <si>
    <t>P103</t>
  </si>
  <si>
    <t>Raj Verma</t>
  </si>
  <si>
    <t>BP</t>
  </si>
  <si>
    <t>P104</t>
  </si>
  <si>
    <t>Neha Gupta</t>
  </si>
  <si>
    <t>Dr. Sharma</t>
  </si>
  <si>
    <t>Jaipur</t>
  </si>
  <si>
    <t>P105</t>
  </si>
  <si>
    <t>Karan Patel</t>
  </si>
  <si>
    <t>P106</t>
  </si>
  <si>
    <t>Simran Kaur</t>
  </si>
  <si>
    <t>P107</t>
  </si>
  <si>
    <t>Mohit Jain</t>
  </si>
  <si>
    <t>P108</t>
  </si>
  <si>
    <t>Pooja Yadav</t>
  </si>
  <si>
    <t>Q1.</t>
  </si>
  <si>
    <t>Q2.</t>
  </si>
  <si>
    <t>Q3.</t>
  </si>
  <si>
    <t>Q4.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</si>
</sst>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C055E29-16A7-48CE-B7F1-80504D38EA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9121-67DF-4F19-B0EF-73F95B141536}">
  <dimension ref="A1:L24"/>
  <sheetViews>
    <sheetView tabSelected="1" topLeftCell="A7" zoomScale="98" zoomScaleNormal="98" workbookViewId="0">
      <selection activeCell="L27" sqref="L27"/>
    </sheetView>
  </sheetViews>
  <sheetFormatPr defaultRowHeight="14.4"/>
  <cols>
    <col min="1" max="1" width="15.21875" customWidth="1"/>
    <col min="2" max="2" width="13.88671875" customWidth="1"/>
    <col min="3" max="3" width="9.109375" customWidth="1"/>
    <col min="4" max="4" width="16.109375" customWidth="1"/>
    <col min="5" max="5" width="12.6640625" customWidth="1"/>
    <col min="6" max="6" width="11.77734375" customWidth="1"/>
    <col min="7" max="7" width="8.21875" customWidth="1"/>
    <col min="8" max="8" width="13.44140625" customWidth="1"/>
    <col min="9" max="9" width="11.77734375" customWidth="1"/>
    <col min="10" max="10" width="15.5546875" customWidth="1"/>
    <col min="12" max="12" width="34.21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>
      <c r="A2" s="2" t="s">
        <v>9</v>
      </c>
      <c r="B2" s="2" t="s">
        <v>10</v>
      </c>
      <c r="C2" s="2">
        <v>34</v>
      </c>
      <c r="D2" s="2" t="s">
        <v>11</v>
      </c>
      <c r="E2" s="2" t="s">
        <v>12</v>
      </c>
      <c r="F2" s="2" t="s">
        <v>13</v>
      </c>
      <c r="G2" s="2">
        <v>500</v>
      </c>
      <c r="H2" s="3">
        <v>46113</v>
      </c>
      <c r="I2" s="2" t="s">
        <v>14</v>
      </c>
    </row>
    <row r="3" spans="1:12">
      <c r="A3" s="2" t="s">
        <v>15</v>
      </c>
      <c r="B3" s="2" t="s">
        <v>16</v>
      </c>
      <c r="C3" s="2">
        <v>28</v>
      </c>
      <c r="D3" s="2" t="s">
        <v>17</v>
      </c>
      <c r="E3" s="2" t="s">
        <v>18</v>
      </c>
      <c r="F3" s="2" t="s">
        <v>19</v>
      </c>
      <c r="G3" s="2">
        <v>800</v>
      </c>
      <c r="H3" s="3">
        <v>46114</v>
      </c>
      <c r="I3" s="2" t="s">
        <v>20</v>
      </c>
    </row>
    <row r="4" spans="1:12">
      <c r="A4" s="2" t="s">
        <v>21</v>
      </c>
      <c r="B4" s="2" t="s">
        <v>22</v>
      </c>
      <c r="C4" s="2">
        <v>45</v>
      </c>
      <c r="D4" s="2" t="s">
        <v>11</v>
      </c>
      <c r="E4" s="2" t="s">
        <v>23</v>
      </c>
      <c r="F4" s="2" t="s">
        <v>13</v>
      </c>
      <c r="G4" s="2">
        <v>700</v>
      </c>
      <c r="H4" s="3">
        <v>46114</v>
      </c>
      <c r="I4" s="2" t="s">
        <v>14</v>
      </c>
    </row>
    <row r="5" spans="1:12">
      <c r="A5" s="2" t="s">
        <v>24</v>
      </c>
      <c r="B5" s="2" t="s">
        <v>25</v>
      </c>
      <c r="C5" s="2">
        <v>30</v>
      </c>
      <c r="D5" s="2" t="s">
        <v>17</v>
      </c>
      <c r="E5" s="2" t="s">
        <v>12</v>
      </c>
      <c r="F5" s="2" t="s">
        <v>26</v>
      </c>
      <c r="G5" s="2">
        <v>400</v>
      </c>
      <c r="H5" s="3">
        <v>46115</v>
      </c>
      <c r="I5" s="2" t="s">
        <v>27</v>
      </c>
    </row>
    <row r="6" spans="1:12">
      <c r="A6" s="2" t="s">
        <v>28</v>
      </c>
      <c r="B6" s="2" t="s">
        <v>29</v>
      </c>
      <c r="C6" s="2">
        <v>50</v>
      </c>
      <c r="D6" s="2" t="s">
        <v>11</v>
      </c>
      <c r="E6" s="2" t="s">
        <v>18</v>
      </c>
      <c r="F6" s="2" t="s">
        <v>19</v>
      </c>
      <c r="G6" s="2">
        <v>900</v>
      </c>
      <c r="H6" s="3">
        <v>46115</v>
      </c>
      <c r="I6" s="2" t="s">
        <v>20</v>
      </c>
    </row>
    <row r="7" spans="1:12">
      <c r="A7" s="2" t="s">
        <v>30</v>
      </c>
      <c r="B7" s="2" t="s">
        <v>31</v>
      </c>
      <c r="C7" s="2">
        <v>38</v>
      </c>
      <c r="D7" s="2" t="s">
        <v>17</v>
      </c>
      <c r="E7" s="2" t="s">
        <v>23</v>
      </c>
      <c r="F7" s="2" t="s">
        <v>26</v>
      </c>
      <c r="G7" s="2">
        <v>600</v>
      </c>
      <c r="H7" s="3">
        <v>46116</v>
      </c>
      <c r="I7" s="2" t="s">
        <v>14</v>
      </c>
    </row>
    <row r="8" spans="1:12">
      <c r="A8" s="2" t="s">
        <v>32</v>
      </c>
      <c r="B8" s="2" t="s">
        <v>33</v>
      </c>
      <c r="C8" s="2">
        <v>29</v>
      </c>
      <c r="D8" s="2" t="s">
        <v>11</v>
      </c>
      <c r="E8" s="2" t="s">
        <v>12</v>
      </c>
      <c r="F8" s="2" t="s">
        <v>13</v>
      </c>
      <c r="G8" s="2">
        <v>450</v>
      </c>
      <c r="H8" s="3">
        <v>46116</v>
      </c>
      <c r="I8" s="2" t="s">
        <v>27</v>
      </c>
    </row>
    <row r="9" spans="1:12">
      <c r="A9" s="2" t="s">
        <v>34</v>
      </c>
      <c r="B9" s="2" t="s">
        <v>35</v>
      </c>
      <c r="C9" s="2">
        <v>41</v>
      </c>
      <c r="D9" s="2" t="s">
        <v>17</v>
      </c>
      <c r="E9" s="2" t="s">
        <v>18</v>
      </c>
      <c r="F9" s="2" t="s">
        <v>19</v>
      </c>
      <c r="G9" s="2">
        <v>850</v>
      </c>
      <c r="H9" s="3">
        <v>46117</v>
      </c>
      <c r="I9" s="2" t="s">
        <v>14</v>
      </c>
    </row>
    <row r="12" spans="1:12" ht="15" thickBot="1"/>
    <row r="13" spans="1:12">
      <c r="A13" s="4" t="s">
        <v>36</v>
      </c>
      <c r="B13" s="5">
        <f>COUNTIF(E2:E9,"FEVER")</f>
        <v>3</v>
      </c>
      <c r="D13" s="4" t="s">
        <v>37</v>
      </c>
      <c r="E13" s="5">
        <f>SUMIF(F2:F9,"Dr. Khan",G2:G9)</f>
        <v>2550</v>
      </c>
      <c r="H13" s="4" t="s">
        <v>38</v>
      </c>
      <c r="I13" s="5" t="str">
        <f>VLOOKUP(A7,A1:I9,6,)</f>
        <v>Dr. Sharma</v>
      </c>
      <c r="K13" s="4" t="s">
        <v>39</v>
      </c>
      <c r="L13" s="5" cm="1">
        <f t="array" ref="L13:L20">DAY(H2:H9)</f>
        <v>1</v>
      </c>
    </row>
    <row r="14" spans="1:12">
      <c r="A14" s="6"/>
      <c r="B14" s="7">
        <f>COUNTIF(I2:I9,"DELHI")</f>
        <v>4</v>
      </c>
      <c r="D14" s="6"/>
      <c r="E14" s="7">
        <f>SUMIF(I2:I9,"delhi",G2:G9)</f>
        <v>2650</v>
      </c>
      <c r="H14" s="6"/>
      <c r="I14" s="7">
        <f>VLOOKUP(B8,B1:I9,6,)</f>
        <v>450</v>
      </c>
      <c r="K14" s="6"/>
      <c r="L14" s="7">
        <v>2</v>
      </c>
    </row>
    <row r="15" spans="1:12" ht="15" thickBot="1">
      <c r="A15" s="6"/>
      <c r="B15" s="7">
        <f>COUNTIF(D2:D9,"F")</f>
        <v>4</v>
      </c>
      <c r="D15" s="6"/>
      <c r="E15" s="7">
        <f>SUMIF(E2:E9,"diabetes",G2:G9)</f>
        <v>2550</v>
      </c>
      <c r="H15" s="8"/>
      <c r="I15" s="9">
        <f>MATCH("BP",E2:E9,)</f>
        <v>3</v>
      </c>
      <c r="K15" s="6"/>
      <c r="L15" s="7">
        <v>2</v>
      </c>
    </row>
    <row r="16" spans="1:12" ht="15" thickBot="1">
      <c r="A16" s="8"/>
      <c r="B16" s="9">
        <f>COUNTIF(H2:H9,"02-04-2026")</f>
        <v>2</v>
      </c>
      <c r="D16" s="8"/>
      <c r="E16" s="9">
        <f>SUMIF(H2:H9,"03-04-2026",G2:G9)</f>
        <v>1300</v>
      </c>
      <c r="K16" s="6"/>
      <c r="L16" s="7">
        <v>3</v>
      </c>
    </row>
    <row r="17" spans="11:12">
      <c r="K17" s="6"/>
      <c r="L17" s="7">
        <v>3</v>
      </c>
    </row>
    <row r="18" spans="11:12">
      <c r="K18" s="6"/>
      <c r="L18" s="7">
        <v>4</v>
      </c>
    </row>
    <row r="19" spans="11:12">
      <c r="K19" s="6"/>
      <c r="L19" s="7">
        <v>4</v>
      </c>
    </row>
    <row r="20" spans="11:12">
      <c r="K20" s="6"/>
      <c r="L20" s="7">
        <v>5</v>
      </c>
    </row>
    <row r="21" spans="11:12">
      <c r="K21" s="6"/>
      <c r="L21" s="7"/>
    </row>
    <row r="22" spans="11:12">
      <c r="K22" s="6"/>
      <c r="L22" s="10" t="str" cm="1">
        <f t="array" ref="L22:L24">IF(H7:H9&gt;DATE(2026,4,3),"After 03-04-2026","On/Before 03-04-2026")</f>
        <v>After 03-04-2026</v>
      </c>
    </row>
    <row r="23" spans="11:12">
      <c r="K23" s="6"/>
      <c r="L23" s="7" t="str">
        <v>After 03-04-2026</v>
      </c>
    </row>
    <row r="24" spans="11:12" ht="15" thickBot="1">
      <c r="K24" s="8"/>
      <c r="L24" s="9" t="str">
        <v>After 03-04-2026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singh</dc:creator>
  <cp:lastModifiedBy>LENOVO</cp:lastModifiedBy>
  <dcterms:created xsi:type="dcterms:W3CDTF">2026-04-10T05:29:16Z</dcterms:created>
  <dcterms:modified xsi:type="dcterms:W3CDTF">2026-04-10T06:33:48Z</dcterms:modified>
</cp:coreProperties>
</file>